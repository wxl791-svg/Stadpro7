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<sst xmlns="http://schemas.openxmlformats.org/spreadsheetml/2006/main" count="317" uniqueCount="78">
  <si>
    <t>ESTIMATON OF A BUILDING BY CENTRE LINE METHOD</t>
  </si>
  <si>
    <t>CALCULATION OF 30CM WALL</t>
  </si>
  <si>
    <t>CALCULATION OF 20CM WALL</t>
  </si>
  <si>
    <t xml:space="preserve">NUMBER OF JUNCTIONS </t>
  </si>
  <si>
    <t>30X30</t>
  </si>
  <si>
    <t>30X20</t>
  </si>
  <si>
    <t>L=TOTAL LENGTH-(B/2)*NO OF JUNCTION</t>
  </si>
  <si>
    <t xml:space="preserve"> </t>
  </si>
  <si>
    <t>SL NO</t>
  </si>
  <si>
    <t xml:space="preserve">PARTICULAR ITEM OF WORK </t>
  </si>
  <si>
    <t>NO</t>
  </si>
  <si>
    <t>L(m)</t>
  </si>
  <si>
    <t>B(m)</t>
  </si>
  <si>
    <t>D(m)</t>
  </si>
  <si>
    <t>QUANTITY (𝑚^3 / 𝑚^2)</t>
  </si>
  <si>
    <t>REMARKS</t>
  </si>
  <si>
    <t>EARTH WORK EXCAVATION</t>
  </si>
  <si>
    <t>30 CM WALL</t>
  </si>
  <si>
    <t>20 CM WALL</t>
  </si>
  <si>
    <t>Total</t>
  </si>
  <si>
    <t>PCC BED</t>
  </si>
  <si>
    <t>SSM</t>
  </si>
  <si>
    <t>ABSTRACT FOR THE ESTIMATED PLAN</t>
  </si>
  <si>
    <t>1ST STEP</t>
  </si>
  <si>
    <t>UNIT</t>
  </si>
  <si>
    <t>RATE/UNIT</t>
  </si>
  <si>
    <t>QUANTITY</t>
  </si>
  <si>
    <t>PRICE</t>
  </si>
  <si>
    <t>m^3</t>
  </si>
  <si>
    <t>2ND STEP</t>
  </si>
  <si>
    <t>BBM</t>
  </si>
  <si>
    <t>3rd STEP</t>
  </si>
  <si>
    <t>DPC</t>
  </si>
  <si>
    <t>m^2</t>
  </si>
  <si>
    <t xml:space="preserve">RC SLAB </t>
  </si>
  <si>
    <t>INTERNAL PLASTERING</t>
  </si>
  <si>
    <t>EXTERNAL PLASTERING</t>
  </si>
  <si>
    <t>CEILING PLASTERING</t>
  </si>
  <si>
    <t>WATER PROOFING ROOF</t>
  </si>
  <si>
    <t>CHAJJA</t>
  </si>
  <si>
    <t>TOTAL   =</t>
  </si>
  <si>
    <t>CONTIGENIOUS 3%   =</t>
  </si>
  <si>
    <t>DEDUCTION</t>
  </si>
  <si>
    <t>CONTROCTOR PROFIT 10%  =</t>
  </si>
  <si>
    <t>MD</t>
  </si>
  <si>
    <t>D</t>
  </si>
  <si>
    <t>TOTAL AMOUNT OF THE ESTIMATION  =</t>
  </si>
  <si>
    <t>W</t>
  </si>
  <si>
    <t>W1</t>
  </si>
  <si>
    <t>V</t>
  </si>
  <si>
    <t>D1</t>
  </si>
  <si>
    <t xml:space="preserve">TOTAL </t>
  </si>
  <si>
    <t>LINTEL</t>
  </si>
  <si>
    <t>S</t>
  </si>
  <si>
    <t>TOTAL BBM AFTER DEDUCTION</t>
  </si>
  <si>
    <t>-</t>
  </si>
  <si>
    <t>Bottom Left Bedroom1+CT</t>
  </si>
  <si>
    <t xml:space="preserve"> Hall </t>
  </si>
  <si>
    <t>Bed room 2</t>
  </si>
  <si>
    <t>Kitchen</t>
  </si>
  <si>
    <t>Attach Toilet</t>
  </si>
  <si>
    <t>Utility Area</t>
  </si>
  <si>
    <t>Bedroom 2</t>
  </si>
  <si>
    <t>Comman Toilet</t>
  </si>
  <si>
    <t>Bedroom 1</t>
  </si>
  <si>
    <t>TOTAL</t>
  </si>
  <si>
    <t>TOTAL QUANTITY OF PLASTERING AFTER DEDUCTON</t>
  </si>
  <si>
    <t xml:space="preserve">Water Proofing Roof </t>
  </si>
  <si>
    <t>AT+UA</t>
  </si>
  <si>
    <t xml:space="preserve">Chajja </t>
  </si>
  <si>
    <t>ESTIMATON OF A BUILDING BY LONG WALL AND SHORT WALL METHOD</t>
  </si>
  <si>
    <t>L1</t>
  </si>
  <si>
    <t>L2</t>
  </si>
  <si>
    <t>S1</t>
  </si>
  <si>
    <t>S2</t>
  </si>
  <si>
    <t>30 CM WALL 1ST STEP</t>
  </si>
  <si>
    <t>3RD  STEP</t>
  </si>
  <si>
    <t>20 CM WALL 1ST STEP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</si>
</sst>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6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indent="11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44"/>
  <sheetViews>
    <sheetView tabSelected="1" zoomScale="91" zoomScaleNormal="91" topLeftCell="A21" workbookViewId="0">
      <selection activeCell="M41" sqref="M41"/>
    </sheetView>
  </sheetViews>
  <sheetFormatPr defaultColWidth="9" defaultRowHeight="14.4"/>
  <cols>
    <col min="1" max="1" width="6.57407407407407" customWidth="1"/>
    <col min="2" max="2" width="28.712962962963" customWidth="1"/>
    <col min="3" max="3" width="5.13888888888889" customWidth="1"/>
    <col min="4" max="4" width="6.85185185185185" customWidth="1"/>
    <col min="5" max="5" width="7.42592592592593" customWidth="1"/>
    <col min="6" max="6" width="5.71296296296296" customWidth="1"/>
    <col min="7" max="7" width="21.5740740740741" customWidth="1"/>
    <col min="8" max="8" width="10" customWidth="1"/>
    <col min="9" max="9" width="10.4259259259259" customWidth="1"/>
    <col min="11" max="11" width="28.4259259259259" customWidth="1"/>
    <col min="12" max="12" width="9" customWidth="1"/>
    <col min="13" max="13" width="11" customWidth="1"/>
    <col min="14" max="14" width="10.5740740740741" customWidth="1"/>
    <col min="15" max="15" width="12.5740740740741" customWidth="1"/>
  </cols>
  <sheetData>
    <row r="1" ht="18" spans="2:7">
      <c r="B1" s="1" t="s">
        <v>0</v>
      </c>
      <c r="C1" s="1"/>
      <c r="D1" s="1"/>
      <c r="E1" s="1"/>
      <c r="F1" s="1"/>
      <c r="G1" s="1"/>
    </row>
    <row r="3" spans="2:5">
      <c r="B3" s="2" t="s">
        <v>1</v>
      </c>
      <c r="C3" s="2"/>
      <c r="D3" s="2"/>
      <c r="E3">
        <f>13*2+2.3*2+7.5*2+9.5+3.8+9.5</f>
        <v>68.4</v>
      </c>
    </row>
    <row r="4" spans="2:5">
      <c r="B4" s="2" t="s">
        <v>2</v>
      </c>
      <c r="C4" s="2"/>
      <c r="D4" s="2"/>
      <c r="E4">
        <f>7.9+7.4</f>
        <v>15.3</v>
      </c>
    </row>
    <row r="5" spans="2:4">
      <c r="B5" s="2" t="s">
        <v>3</v>
      </c>
      <c r="C5" s="2"/>
      <c r="D5" s="2"/>
    </row>
    <row r="6" spans="2:5">
      <c r="B6" s="2" t="s">
        <v>4</v>
      </c>
      <c r="C6" s="2"/>
      <c r="D6" s="2"/>
      <c r="E6">
        <v>5</v>
      </c>
    </row>
    <row r="7" spans="2:5">
      <c r="B7" s="2" t="s">
        <v>5</v>
      </c>
      <c r="C7" s="2"/>
      <c r="D7" s="2"/>
      <c r="E7">
        <v>7</v>
      </c>
    </row>
    <row r="8" spans="2:5">
      <c r="B8" s="2" t="s">
        <v>6</v>
      </c>
      <c r="C8" s="2"/>
      <c r="D8" s="2"/>
      <c r="E8" s="2"/>
    </row>
    <row r="9" spans="4:4">
      <c r="D9" t="s">
        <v>7</v>
      </c>
    </row>
    <row r="10" spans="1:8">
      <c r="A10" s="3" t="s">
        <v>8</v>
      </c>
      <c r="B10" s="3" t="s">
        <v>9</v>
      </c>
      <c r="C10" s="3" t="s">
        <v>10</v>
      </c>
      <c r="D10" s="3" t="s">
        <v>11</v>
      </c>
      <c r="E10" s="3" t="s">
        <v>12</v>
      </c>
      <c r="F10" s="3" t="s">
        <v>13</v>
      </c>
      <c r="G10" s="3" t="s">
        <v>14</v>
      </c>
      <c r="H10" s="3" t="s">
        <v>15</v>
      </c>
    </row>
    <row r="11" spans="1:8">
      <c r="A11" s="4">
        <v>1</v>
      </c>
      <c r="B11" s="4" t="s">
        <v>16</v>
      </c>
      <c r="C11" s="4"/>
      <c r="D11" s="4"/>
      <c r="E11" s="4"/>
      <c r="F11" s="4"/>
      <c r="G11" s="4"/>
      <c r="H11" s="4"/>
    </row>
    <row r="12" spans="1:8">
      <c r="A12" s="4"/>
      <c r="B12" s="4" t="s">
        <v>17</v>
      </c>
      <c r="C12" s="4">
        <v>1</v>
      </c>
      <c r="D12" s="4">
        <v>65.9</v>
      </c>
      <c r="E12" s="4">
        <v>1</v>
      </c>
      <c r="F12" s="4">
        <v>1</v>
      </c>
      <c r="G12" s="4">
        <f>C12*D12*E12*F12</f>
        <v>65.9</v>
      </c>
      <c r="H12" s="4">
        <v>65.9</v>
      </c>
    </row>
    <row r="13" spans="1:8">
      <c r="A13" s="4"/>
      <c r="B13" s="4" t="s">
        <v>18</v>
      </c>
      <c r="C13" s="4">
        <v>1</v>
      </c>
      <c r="D13" s="4">
        <v>12.675</v>
      </c>
      <c r="E13" s="4">
        <v>0.75</v>
      </c>
      <c r="F13" s="4">
        <v>0.5</v>
      </c>
      <c r="G13" s="4">
        <f>C13*D13*E13*F13</f>
        <v>4.753125</v>
      </c>
      <c r="H13" s="4">
        <v>12.675</v>
      </c>
    </row>
    <row r="14" spans="1:8">
      <c r="A14" s="4"/>
      <c r="B14" s="4"/>
      <c r="C14" s="4"/>
      <c r="D14" s="4"/>
      <c r="E14" s="4"/>
      <c r="F14" s="4" t="s">
        <v>19</v>
      </c>
      <c r="G14" s="4">
        <f>SUM(G12,G13)</f>
        <v>70.653125</v>
      </c>
      <c r="H14" s="4"/>
    </row>
    <row r="15" spans="1:8">
      <c r="A15" s="4"/>
      <c r="B15" s="4"/>
      <c r="C15" s="4"/>
      <c r="D15" s="4"/>
      <c r="E15" s="4"/>
      <c r="F15" s="4"/>
      <c r="G15" s="4"/>
      <c r="H15" s="4"/>
    </row>
    <row r="16" ht="15.6" spans="1:13">
      <c r="A16" s="4">
        <v>2</v>
      </c>
      <c r="B16" s="4" t="s">
        <v>20</v>
      </c>
      <c r="C16" s="4"/>
      <c r="D16" s="4"/>
      <c r="E16" s="4"/>
      <c r="F16" s="4"/>
      <c r="G16" s="4"/>
      <c r="H16" s="4"/>
      <c r="K16" s="9"/>
      <c r="L16" s="9"/>
      <c r="M16" s="9"/>
    </row>
    <row r="17" ht="15.6" spans="1:13">
      <c r="A17" s="4"/>
      <c r="B17" s="4" t="s">
        <v>17</v>
      </c>
      <c r="C17" s="4">
        <v>1</v>
      </c>
      <c r="D17" s="4">
        <v>65.9</v>
      </c>
      <c r="E17" s="4">
        <v>1</v>
      </c>
      <c r="F17" s="4">
        <v>0.2</v>
      </c>
      <c r="G17" s="4">
        <f>C17*D17*E17*F17</f>
        <v>13.18</v>
      </c>
      <c r="H17" s="4">
        <v>65.9</v>
      </c>
      <c r="K17" s="9"/>
      <c r="L17" s="9"/>
      <c r="M17" s="9"/>
    </row>
    <row r="18" ht="15.6" spans="1:13">
      <c r="A18" s="4"/>
      <c r="B18" s="4" t="s">
        <v>18</v>
      </c>
      <c r="C18" s="4">
        <v>1</v>
      </c>
      <c r="D18" s="4">
        <v>12.675</v>
      </c>
      <c r="E18" s="4">
        <v>0.75</v>
      </c>
      <c r="F18" s="4">
        <v>0.1</v>
      </c>
      <c r="G18" s="4">
        <f>C18*D18*E18*F18</f>
        <v>0.950625</v>
      </c>
      <c r="H18" s="4">
        <v>12.675</v>
      </c>
      <c r="K18" s="9"/>
      <c r="L18" s="9"/>
      <c r="M18" s="9"/>
    </row>
    <row r="19" ht="15.6" spans="1:13">
      <c r="A19" s="4"/>
      <c r="B19" s="4"/>
      <c r="C19" s="4"/>
      <c r="D19" s="4"/>
      <c r="E19" s="4"/>
      <c r="F19" s="4" t="s">
        <v>19</v>
      </c>
      <c r="G19" s="4">
        <f>SUM(G17,G18)</f>
        <v>14.130625</v>
      </c>
      <c r="H19" s="4"/>
      <c r="K19" s="9"/>
      <c r="L19" s="9"/>
      <c r="M19" s="9"/>
    </row>
    <row r="20" ht="15.6" spans="1:13">
      <c r="A20" s="4"/>
      <c r="B20" s="4"/>
      <c r="C20" s="4"/>
      <c r="D20" s="4"/>
      <c r="E20" s="4"/>
      <c r="F20" s="4"/>
      <c r="G20" s="4"/>
      <c r="H20" s="4"/>
      <c r="K20" s="9"/>
      <c r="L20" s="9"/>
      <c r="M20" s="9"/>
    </row>
    <row r="21" ht="15.6" spans="1:13">
      <c r="A21" s="4">
        <v>3</v>
      </c>
      <c r="B21" s="4" t="s">
        <v>21</v>
      </c>
      <c r="C21" s="4"/>
      <c r="D21" s="4"/>
      <c r="E21" s="4"/>
      <c r="F21" s="4"/>
      <c r="G21" s="4"/>
      <c r="H21" s="4"/>
      <c r="K21" s="9" t="s">
        <v>22</v>
      </c>
      <c r="L21" s="9"/>
      <c r="M21" s="9"/>
    </row>
    <row r="22" spans="1:8">
      <c r="A22" s="4"/>
      <c r="B22" s="5" t="s">
        <v>23</v>
      </c>
      <c r="C22" s="4"/>
      <c r="D22" s="4"/>
      <c r="E22" s="4"/>
      <c r="F22" s="4"/>
      <c r="G22" s="4"/>
      <c r="H22" s="4"/>
    </row>
    <row r="23" spans="1:15">
      <c r="A23" s="4"/>
      <c r="B23" s="4" t="s">
        <v>17</v>
      </c>
      <c r="C23" s="4">
        <v>1</v>
      </c>
      <c r="D23" s="4">
        <v>66.525</v>
      </c>
      <c r="E23" s="4">
        <v>0.75</v>
      </c>
      <c r="F23" s="4">
        <v>0.4</v>
      </c>
      <c r="G23" s="4">
        <f>C23*D23*E23*F23</f>
        <v>19.9575</v>
      </c>
      <c r="H23" s="4">
        <v>66.525</v>
      </c>
      <c r="J23" s="10" t="s">
        <v>8</v>
      </c>
      <c r="K23" s="10" t="s">
        <v>9</v>
      </c>
      <c r="L23" s="10" t="s">
        <v>24</v>
      </c>
      <c r="M23" s="10" t="s">
        <v>25</v>
      </c>
      <c r="N23" s="10" t="s">
        <v>26</v>
      </c>
      <c r="O23" s="10" t="s">
        <v>27</v>
      </c>
    </row>
    <row r="24" spans="1:15">
      <c r="A24" s="4"/>
      <c r="B24" s="4" t="s">
        <v>18</v>
      </c>
      <c r="C24" s="4">
        <v>1</v>
      </c>
      <c r="D24" s="4">
        <v>13.375</v>
      </c>
      <c r="E24" s="4">
        <v>0.55</v>
      </c>
      <c r="F24" s="4">
        <v>0.4</v>
      </c>
      <c r="G24" s="4">
        <f>C24*D24*E24*F24</f>
        <v>2.9425</v>
      </c>
      <c r="H24" s="4">
        <v>13.375</v>
      </c>
      <c r="J24" s="4">
        <v>1</v>
      </c>
      <c r="K24" s="4" t="s">
        <v>16</v>
      </c>
      <c r="L24" s="4" t="s">
        <v>28</v>
      </c>
      <c r="M24" s="4">
        <v>300</v>
      </c>
      <c r="N24" s="4">
        <v>70.653</v>
      </c>
      <c r="O24" s="4">
        <f>M24*N24</f>
        <v>21195.9</v>
      </c>
    </row>
    <row r="25" spans="1:15">
      <c r="A25" s="4"/>
      <c r="B25" s="5" t="s">
        <v>29</v>
      </c>
      <c r="C25" s="4"/>
      <c r="D25" s="4"/>
      <c r="E25" s="4"/>
      <c r="F25" s="4"/>
      <c r="G25" s="4"/>
      <c r="H25" s="4"/>
      <c r="J25" s="4">
        <v>2</v>
      </c>
      <c r="K25" s="4" t="s">
        <v>20</v>
      </c>
      <c r="L25" s="4" t="s">
        <v>28</v>
      </c>
      <c r="M25" s="4">
        <v>4000</v>
      </c>
      <c r="N25" s="4">
        <v>14.13</v>
      </c>
      <c r="O25" s="4">
        <f t="shared" ref="O25:O34" si="0">M25*N25</f>
        <v>56520</v>
      </c>
    </row>
    <row r="26" spans="1:15">
      <c r="A26" s="4"/>
      <c r="B26" s="4" t="s">
        <v>17</v>
      </c>
      <c r="C26" s="4">
        <v>1</v>
      </c>
      <c r="D26" s="4">
        <v>66.9</v>
      </c>
      <c r="E26" s="4">
        <v>0.6</v>
      </c>
      <c r="F26" s="4">
        <v>0.4</v>
      </c>
      <c r="G26" s="4">
        <f>C26*D26*E26*F26</f>
        <v>16.056</v>
      </c>
      <c r="H26" s="4">
        <v>66.9</v>
      </c>
      <c r="J26" s="4">
        <v>3</v>
      </c>
      <c r="K26" s="4" t="s">
        <v>21</v>
      </c>
      <c r="L26" s="4" t="s">
        <v>28</v>
      </c>
      <c r="M26" s="4">
        <v>5000</v>
      </c>
      <c r="N26" s="4">
        <v>56.55</v>
      </c>
      <c r="O26" s="4">
        <f t="shared" si="0"/>
        <v>282750</v>
      </c>
    </row>
    <row r="27" spans="1:15">
      <c r="A27" s="4"/>
      <c r="B27" s="4" t="s">
        <v>18</v>
      </c>
      <c r="C27" s="4">
        <v>1</v>
      </c>
      <c r="D27" s="4">
        <v>14.075</v>
      </c>
      <c r="E27" s="4">
        <v>0.35</v>
      </c>
      <c r="F27" s="4">
        <v>0.5</v>
      </c>
      <c r="G27" s="4">
        <f>C27*D27*E27*F27</f>
        <v>2.463125</v>
      </c>
      <c r="H27" s="4">
        <v>14.075</v>
      </c>
      <c r="J27" s="4">
        <v>4</v>
      </c>
      <c r="K27" s="6" t="s">
        <v>30</v>
      </c>
      <c r="L27" s="4" t="s">
        <v>28</v>
      </c>
      <c r="M27" s="4">
        <v>6000</v>
      </c>
      <c r="N27" s="4">
        <v>66</v>
      </c>
      <c r="O27" s="4">
        <f t="shared" si="0"/>
        <v>396000</v>
      </c>
    </row>
    <row r="28" spans="1:15">
      <c r="A28" s="4"/>
      <c r="B28" s="5" t="s">
        <v>31</v>
      </c>
      <c r="C28" s="4"/>
      <c r="D28" s="4"/>
      <c r="E28" s="4"/>
      <c r="F28" s="4"/>
      <c r="G28" s="4"/>
      <c r="H28" s="4"/>
      <c r="J28" s="4">
        <v>5</v>
      </c>
      <c r="K28" s="6" t="s">
        <v>32</v>
      </c>
      <c r="L28" s="4" t="s">
        <v>33</v>
      </c>
      <c r="M28" s="4">
        <v>300</v>
      </c>
      <c r="N28" s="4">
        <v>35.2</v>
      </c>
      <c r="O28" s="4">
        <f t="shared" si="0"/>
        <v>10560</v>
      </c>
    </row>
    <row r="29" spans="1:15">
      <c r="A29" s="4"/>
      <c r="B29" s="4" t="s">
        <v>17</v>
      </c>
      <c r="C29" s="4">
        <v>1</v>
      </c>
      <c r="D29" s="4">
        <v>67.275</v>
      </c>
      <c r="E29" s="4">
        <v>0.45</v>
      </c>
      <c r="F29" s="4">
        <v>0.5</v>
      </c>
      <c r="G29" s="4">
        <f>C29*D29*E29*F29</f>
        <v>15.136875</v>
      </c>
      <c r="H29" s="4">
        <v>67.275</v>
      </c>
      <c r="J29" s="4">
        <v>6</v>
      </c>
      <c r="K29" s="6" t="s">
        <v>34</v>
      </c>
      <c r="L29" s="4" t="s">
        <v>28</v>
      </c>
      <c r="M29" s="4">
        <v>10000</v>
      </c>
      <c r="N29" s="4">
        <v>22.242</v>
      </c>
      <c r="O29" s="4">
        <f t="shared" si="0"/>
        <v>222420</v>
      </c>
    </row>
    <row r="30" spans="1:15">
      <c r="A30" s="4"/>
      <c r="B30" s="4"/>
      <c r="C30" s="4"/>
      <c r="D30" s="4"/>
      <c r="E30" s="4"/>
      <c r="F30" s="4" t="s">
        <v>19</v>
      </c>
      <c r="G30" s="4">
        <f>SUM(G23:G29)</f>
        <v>56.556</v>
      </c>
      <c r="H30" s="4"/>
      <c r="J30" s="4">
        <v>7</v>
      </c>
      <c r="K30" s="6" t="s">
        <v>35</v>
      </c>
      <c r="L30" s="4" t="s">
        <v>33</v>
      </c>
      <c r="M30" s="4">
        <v>600</v>
      </c>
      <c r="N30" s="4">
        <v>336.9</v>
      </c>
      <c r="O30" s="4">
        <f t="shared" si="0"/>
        <v>202140</v>
      </c>
    </row>
    <row r="31" spans="1:15">
      <c r="A31" s="4"/>
      <c r="B31" s="4"/>
      <c r="C31" s="4"/>
      <c r="D31" s="4"/>
      <c r="E31" s="4"/>
      <c r="F31" s="4"/>
      <c r="G31" s="4"/>
      <c r="H31" s="4"/>
      <c r="J31" s="4">
        <v>8</v>
      </c>
      <c r="K31" s="6" t="s">
        <v>36</v>
      </c>
      <c r="L31" s="4" t="s">
        <v>33</v>
      </c>
      <c r="M31" s="4">
        <v>250</v>
      </c>
      <c r="N31" s="4">
        <v>191.835</v>
      </c>
      <c r="O31" s="4">
        <f t="shared" si="0"/>
        <v>47958.75</v>
      </c>
    </row>
    <row r="32" spans="1:15">
      <c r="A32" s="4"/>
      <c r="B32" s="4"/>
      <c r="C32" s="4"/>
      <c r="D32" s="4"/>
      <c r="E32" s="4"/>
      <c r="F32" s="4"/>
      <c r="G32" s="4"/>
      <c r="H32" s="4"/>
      <c r="J32" s="4">
        <v>9</v>
      </c>
      <c r="K32" s="6" t="s">
        <v>37</v>
      </c>
      <c r="L32" s="4" t="s">
        <v>33</v>
      </c>
      <c r="M32" s="4">
        <v>700</v>
      </c>
      <c r="N32" s="4">
        <v>124.55</v>
      </c>
      <c r="O32" s="4">
        <f t="shared" si="0"/>
        <v>87185</v>
      </c>
    </row>
    <row r="33" spans="1:15">
      <c r="A33" s="4"/>
      <c r="B33" s="4"/>
      <c r="C33" s="4"/>
      <c r="D33" s="4"/>
      <c r="E33" s="4"/>
      <c r="F33" s="4"/>
      <c r="G33" s="4"/>
      <c r="H33" s="4"/>
      <c r="J33" s="4">
        <v>10</v>
      </c>
      <c r="K33" s="6" t="s">
        <v>38</v>
      </c>
      <c r="L33" s="4" t="s">
        <v>33</v>
      </c>
      <c r="M33" s="4">
        <v>350</v>
      </c>
      <c r="N33" s="4">
        <v>148.28</v>
      </c>
      <c r="O33" s="4">
        <f t="shared" si="0"/>
        <v>51898</v>
      </c>
    </row>
    <row r="34" spans="1:15">
      <c r="A34" s="4">
        <v>4</v>
      </c>
      <c r="B34" s="6" t="s">
        <v>30</v>
      </c>
      <c r="C34" s="4"/>
      <c r="D34" s="4"/>
      <c r="E34" s="4"/>
      <c r="F34" s="4"/>
      <c r="G34" s="4"/>
      <c r="H34" s="4"/>
      <c r="J34" s="4">
        <v>11</v>
      </c>
      <c r="K34" s="4" t="s">
        <v>39</v>
      </c>
      <c r="L34" s="4" t="s">
        <v>28</v>
      </c>
      <c r="M34" s="4">
        <v>650</v>
      </c>
      <c r="N34" s="4">
        <v>0.39</v>
      </c>
      <c r="O34" s="4">
        <f t="shared" si="0"/>
        <v>253.5</v>
      </c>
    </row>
    <row r="35" spans="1:15">
      <c r="A35" s="4"/>
      <c r="B35" s="4" t="s">
        <v>17</v>
      </c>
      <c r="C35" s="4">
        <v>1</v>
      </c>
      <c r="D35" s="4">
        <v>67.65</v>
      </c>
      <c r="E35" s="4">
        <v>0.3</v>
      </c>
      <c r="F35" s="4">
        <v>3.15</v>
      </c>
      <c r="G35" s="4">
        <f>C35*D35*E35*F35</f>
        <v>63.92925</v>
      </c>
      <c r="H35" s="4">
        <v>67.65</v>
      </c>
      <c r="N35" s="4" t="s">
        <v>40</v>
      </c>
      <c r="O35" s="4">
        <f>SUM(O24:O34)</f>
        <v>1378881.15</v>
      </c>
    </row>
    <row r="36" spans="1:11">
      <c r="A36" s="4"/>
      <c r="B36" s="4" t="s">
        <v>18</v>
      </c>
      <c r="C36" s="4">
        <v>1</v>
      </c>
      <c r="D36" s="4">
        <v>14.6</v>
      </c>
      <c r="E36" s="4">
        <v>0.2</v>
      </c>
      <c r="F36" s="4">
        <v>3.15</v>
      </c>
      <c r="G36" s="4">
        <f>C36*D36*E36*F36</f>
        <v>9.198</v>
      </c>
      <c r="H36" s="4">
        <v>14.6</v>
      </c>
      <c r="K36" s="11"/>
    </row>
    <row r="37" spans="1:12">
      <c r="A37" s="4"/>
      <c r="B37" s="4"/>
      <c r="C37" s="4"/>
      <c r="D37" s="4"/>
      <c r="E37" s="4"/>
      <c r="F37" s="4" t="s">
        <v>19</v>
      </c>
      <c r="G37" s="4">
        <f>SUM(G35:G36)</f>
        <v>73.12725</v>
      </c>
      <c r="H37" s="4"/>
      <c r="K37" s="11" t="s">
        <v>41</v>
      </c>
      <c r="L37">
        <f>O35*3/100</f>
        <v>41366.4345</v>
      </c>
    </row>
    <row r="38" spans="1:12">
      <c r="A38" s="4"/>
      <c r="B38" s="5" t="s">
        <v>42</v>
      </c>
      <c r="C38" s="4"/>
      <c r="D38" s="4"/>
      <c r="E38" s="4"/>
      <c r="F38" s="4"/>
      <c r="G38" s="4"/>
      <c r="H38" s="4"/>
      <c r="K38" s="11" t="s">
        <v>43</v>
      </c>
      <c r="L38">
        <f>O35*10/100</f>
        <v>137888.115</v>
      </c>
    </row>
    <row r="39" spans="1:8">
      <c r="A39" s="4"/>
      <c r="B39" s="7" t="s">
        <v>44</v>
      </c>
      <c r="C39" s="4">
        <v>1</v>
      </c>
      <c r="D39" s="4">
        <v>1</v>
      </c>
      <c r="E39" s="4">
        <v>0.3</v>
      </c>
      <c r="F39" s="4">
        <v>2.1</v>
      </c>
      <c r="G39" s="4">
        <f>C39*D39*E39*F39</f>
        <v>0.63</v>
      </c>
      <c r="H39" s="4"/>
    </row>
    <row r="40" spans="1:13">
      <c r="A40" s="4"/>
      <c r="B40" s="7" t="s">
        <v>45</v>
      </c>
      <c r="C40" s="4">
        <v>4</v>
      </c>
      <c r="D40" s="4">
        <v>0.9</v>
      </c>
      <c r="E40" s="4">
        <v>0.3</v>
      </c>
      <c r="F40" s="4">
        <v>2.1</v>
      </c>
      <c r="G40" s="4">
        <f t="shared" ref="G40:G44" si="1">C40*D40*E40*F40</f>
        <v>2.268</v>
      </c>
      <c r="H40" s="4"/>
      <c r="K40" s="11" t="s">
        <v>46</v>
      </c>
      <c r="L40" s="11"/>
      <c r="M40">
        <f>O35+L37+L38</f>
        <v>1558135.6995</v>
      </c>
    </row>
    <row r="41" spans="1:11">
      <c r="A41" s="4"/>
      <c r="B41" s="7" t="s">
        <v>47</v>
      </c>
      <c r="C41" s="4">
        <v>3</v>
      </c>
      <c r="D41" s="4">
        <v>1</v>
      </c>
      <c r="E41" s="4">
        <v>0.3</v>
      </c>
      <c r="F41" s="4">
        <v>1.5</v>
      </c>
      <c r="G41" s="4">
        <f t="shared" si="1"/>
        <v>1.35</v>
      </c>
      <c r="H41" s="4"/>
      <c r="K41" s="11"/>
    </row>
    <row r="42" spans="1:11">
      <c r="A42" s="4"/>
      <c r="B42" s="7" t="s">
        <v>48</v>
      </c>
      <c r="C42" s="4">
        <v>3</v>
      </c>
      <c r="D42" s="4">
        <v>1</v>
      </c>
      <c r="E42" s="4">
        <v>0.3</v>
      </c>
      <c r="F42" s="4">
        <v>1.2</v>
      </c>
      <c r="G42" s="4">
        <f t="shared" si="1"/>
        <v>1.08</v>
      </c>
      <c r="H42" s="4"/>
      <c r="K42" s="11"/>
    </row>
    <row r="43" spans="1:11">
      <c r="A43" s="4"/>
      <c r="B43" s="7" t="s">
        <v>49</v>
      </c>
      <c r="C43" s="4">
        <v>2</v>
      </c>
      <c r="D43" s="4">
        <v>0.9</v>
      </c>
      <c r="E43" s="4">
        <v>0.3</v>
      </c>
      <c r="F43" s="4">
        <v>0.6</v>
      </c>
      <c r="G43" s="4">
        <f t="shared" si="1"/>
        <v>0.324</v>
      </c>
      <c r="H43" s="4"/>
      <c r="K43" s="11"/>
    </row>
    <row r="44" spans="1:11">
      <c r="A44" s="4"/>
      <c r="B44" s="7" t="s">
        <v>50</v>
      </c>
      <c r="C44" s="4">
        <v>2</v>
      </c>
      <c r="D44" s="4">
        <v>0.8</v>
      </c>
      <c r="E44" s="4">
        <v>0.2</v>
      </c>
      <c r="F44" s="4">
        <v>2.1</v>
      </c>
      <c r="G44" s="4">
        <f t="shared" si="1"/>
        <v>0.672</v>
      </c>
      <c r="H44" s="4"/>
      <c r="K44" s="11"/>
    </row>
    <row r="45" spans="1:11">
      <c r="A45" s="4"/>
      <c r="B45" s="5"/>
      <c r="C45" s="4"/>
      <c r="D45" s="4"/>
      <c r="E45" s="4" t="s">
        <v>51</v>
      </c>
      <c r="F45" s="4"/>
      <c r="G45" s="4">
        <f>SUM(G39:G44)</f>
        <v>6.324</v>
      </c>
      <c r="H45" s="4"/>
      <c r="K45" s="11"/>
    </row>
    <row r="46" spans="1:11">
      <c r="A46" s="4"/>
      <c r="B46" s="5" t="s">
        <v>52</v>
      </c>
      <c r="C46" s="4"/>
      <c r="D46" s="4"/>
      <c r="E46" s="4"/>
      <c r="F46" s="4"/>
      <c r="G46" s="4"/>
      <c r="H46" s="4"/>
      <c r="K46" s="11"/>
    </row>
    <row r="47" spans="1:11">
      <c r="A47" s="4"/>
      <c r="B47" s="7" t="s">
        <v>44</v>
      </c>
      <c r="C47" s="4">
        <v>1</v>
      </c>
      <c r="D47" s="4">
        <v>1.3</v>
      </c>
      <c r="E47" s="4">
        <v>0.3</v>
      </c>
      <c r="F47" s="4">
        <v>0.15</v>
      </c>
      <c r="G47" s="4">
        <f>C47*D47*E47*F47</f>
        <v>0.0585</v>
      </c>
      <c r="H47" s="4"/>
      <c r="K47" s="11"/>
    </row>
    <row r="48" spans="1:11">
      <c r="A48" s="4"/>
      <c r="B48" s="7" t="s">
        <v>45</v>
      </c>
      <c r="C48" s="4">
        <v>4</v>
      </c>
      <c r="D48" s="4">
        <v>1.2</v>
      </c>
      <c r="E48" s="4">
        <v>0.3</v>
      </c>
      <c r="F48" s="4">
        <v>0.15</v>
      </c>
      <c r="G48" s="4">
        <f t="shared" ref="G48:G52" si="2">C48*D48*E48*F48</f>
        <v>0.216</v>
      </c>
      <c r="H48" s="4"/>
      <c r="K48" s="11"/>
    </row>
    <row r="49" spans="1:11">
      <c r="A49" s="4"/>
      <c r="B49" s="7" t="s">
        <v>47</v>
      </c>
      <c r="C49" s="4">
        <v>3</v>
      </c>
      <c r="D49" s="4">
        <v>1.3</v>
      </c>
      <c r="E49" s="4">
        <v>0.3</v>
      </c>
      <c r="F49" s="4">
        <v>0.15</v>
      </c>
      <c r="G49" s="4">
        <f t="shared" si="2"/>
        <v>0.1755</v>
      </c>
      <c r="H49" s="4"/>
      <c r="K49" s="11"/>
    </row>
    <row r="50" spans="1:11">
      <c r="A50" s="4"/>
      <c r="B50" s="7" t="s">
        <v>48</v>
      </c>
      <c r="C50" s="4">
        <v>3</v>
      </c>
      <c r="D50" s="4">
        <v>1.3</v>
      </c>
      <c r="E50" s="4">
        <v>0.3</v>
      </c>
      <c r="F50" s="4">
        <v>0.15</v>
      </c>
      <c r="G50" s="4">
        <f t="shared" si="2"/>
        <v>0.1755</v>
      </c>
      <c r="H50" s="4"/>
      <c r="K50" s="11"/>
    </row>
    <row r="51" spans="1:11">
      <c r="A51" s="4"/>
      <c r="B51" s="7" t="s">
        <v>49</v>
      </c>
      <c r="C51" s="4">
        <v>2</v>
      </c>
      <c r="D51" s="4">
        <v>1.2</v>
      </c>
      <c r="E51" s="4">
        <v>0.3</v>
      </c>
      <c r="F51" s="4">
        <v>0.15</v>
      </c>
      <c r="G51" s="4">
        <f t="shared" si="2"/>
        <v>0.108</v>
      </c>
      <c r="H51" s="4"/>
      <c r="K51" s="11"/>
    </row>
    <row r="52" spans="1:10">
      <c r="A52" s="4"/>
      <c r="B52" s="7" t="s">
        <v>50</v>
      </c>
      <c r="C52" s="4">
        <v>2</v>
      </c>
      <c r="D52" s="4">
        <v>1</v>
      </c>
      <c r="E52" s="4">
        <v>0.2</v>
      </c>
      <c r="F52" s="4">
        <v>0.15</v>
      </c>
      <c r="G52" s="4">
        <f t="shared" si="2"/>
        <v>0.06</v>
      </c>
      <c r="H52" s="4"/>
      <c r="J52" t="s">
        <v>53</v>
      </c>
    </row>
    <row r="53" spans="1:8">
      <c r="A53" s="4"/>
      <c r="B53" s="7"/>
      <c r="C53" s="4"/>
      <c r="D53" s="4"/>
      <c r="E53" s="4" t="s">
        <v>51</v>
      </c>
      <c r="F53" s="4"/>
      <c r="G53" s="4">
        <f>SUM(G47:G52)</f>
        <v>0.7935</v>
      </c>
      <c r="H53" s="4"/>
    </row>
    <row r="54" spans="1:8">
      <c r="A54" s="4"/>
      <c r="B54" s="8" t="s">
        <v>54</v>
      </c>
      <c r="C54" s="8"/>
      <c r="D54" s="8"/>
      <c r="E54" s="8"/>
      <c r="F54" s="8"/>
      <c r="G54" s="4">
        <f>G37-G45-G53</f>
        <v>66.00975</v>
      </c>
      <c r="H54" s="4"/>
    </row>
    <row r="55" spans="1:8">
      <c r="A55" s="4">
        <v>5</v>
      </c>
      <c r="B55" s="6" t="s">
        <v>32</v>
      </c>
      <c r="C55" s="4"/>
      <c r="D55" s="4"/>
      <c r="E55" s="4"/>
      <c r="F55" s="8"/>
      <c r="G55" s="4"/>
      <c r="H55" s="4"/>
    </row>
    <row r="56" spans="1:8">
      <c r="A56" s="4"/>
      <c r="B56" s="4" t="s">
        <v>17</v>
      </c>
      <c r="C56" s="4">
        <v>1</v>
      </c>
      <c r="D56" s="4">
        <v>67.275</v>
      </c>
      <c r="E56" s="4">
        <v>0.45</v>
      </c>
      <c r="F56" s="8" t="s">
        <v>55</v>
      </c>
      <c r="G56" s="4">
        <f>C56*D56*E56</f>
        <v>30.27375</v>
      </c>
      <c r="H56" s="4">
        <v>67.275</v>
      </c>
    </row>
    <row r="57" spans="1:8">
      <c r="A57" s="4"/>
      <c r="B57" s="4" t="s">
        <v>18</v>
      </c>
      <c r="C57" s="4">
        <v>1</v>
      </c>
      <c r="D57" s="4">
        <v>14.075</v>
      </c>
      <c r="E57" s="4">
        <v>0.35</v>
      </c>
      <c r="F57" s="8" t="s">
        <v>55</v>
      </c>
      <c r="G57" s="4">
        <f>C57*D57*E57</f>
        <v>4.92625</v>
      </c>
      <c r="H57" s="4">
        <v>14.075</v>
      </c>
    </row>
    <row r="58" spans="1:8">
      <c r="A58" s="4"/>
      <c r="B58" s="6"/>
      <c r="C58" s="4"/>
      <c r="D58" s="4"/>
      <c r="E58" s="4" t="s">
        <v>51</v>
      </c>
      <c r="F58" s="4"/>
      <c r="G58" s="4">
        <f>SUM(G56:G57)</f>
        <v>35.2</v>
      </c>
      <c r="H58" s="4"/>
    </row>
    <row r="59" spans="1:8">
      <c r="A59" s="4"/>
      <c r="B59" s="6"/>
      <c r="C59" s="4"/>
      <c r="D59" s="4"/>
      <c r="E59" s="4"/>
      <c r="F59" s="4"/>
      <c r="G59" s="4"/>
      <c r="H59" s="4"/>
    </row>
    <row r="60" spans="1:8">
      <c r="A60" s="4">
        <v>6</v>
      </c>
      <c r="B60" s="6" t="s">
        <v>34</v>
      </c>
      <c r="C60" s="4"/>
      <c r="D60" s="4"/>
      <c r="E60" s="4"/>
      <c r="F60" s="4"/>
      <c r="G60" s="4"/>
      <c r="H60" s="4"/>
    </row>
    <row r="61" spans="1:8">
      <c r="A61" s="4"/>
      <c r="B61" s="6" t="s">
        <v>56</v>
      </c>
      <c r="C61" s="4">
        <v>1</v>
      </c>
      <c r="D61" s="4">
        <v>7.7</v>
      </c>
      <c r="E61" s="4">
        <v>4</v>
      </c>
      <c r="F61" s="4">
        <v>0.15</v>
      </c>
      <c r="G61" s="4">
        <f>C61*D61*E61*F61</f>
        <v>4.62</v>
      </c>
      <c r="H61" s="4">
        <v>7.7</v>
      </c>
    </row>
    <row r="62" spans="1:8">
      <c r="A62" s="4"/>
      <c r="B62" s="6" t="s">
        <v>57</v>
      </c>
      <c r="C62" s="4">
        <v>1</v>
      </c>
      <c r="D62" s="4">
        <v>7.7</v>
      </c>
      <c r="E62" s="4">
        <v>5.8</v>
      </c>
      <c r="F62" s="4">
        <v>0.15</v>
      </c>
      <c r="G62" s="4">
        <f t="shared" ref="G62:G66" si="3">C62*D62*E62*F62</f>
        <v>6.699</v>
      </c>
      <c r="H62" s="4">
        <v>7.7</v>
      </c>
    </row>
    <row r="63" spans="1:8">
      <c r="A63" s="4"/>
      <c r="B63" s="6" t="s">
        <v>58</v>
      </c>
      <c r="C63" s="4">
        <v>1</v>
      </c>
      <c r="D63" s="4">
        <v>5.6</v>
      </c>
      <c r="E63" s="4">
        <v>5.5</v>
      </c>
      <c r="F63" s="4">
        <v>0.15</v>
      </c>
      <c r="G63" s="4">
        <f t="shared" si="3"/>
        <v>4.62</v>
      </c>
      <c r="H63" s="4">
        <v>5.6</v>
      </c>
    </row>
    <row r="64" spans="1:8">
      <c r="A64" s="4"/>
      <c r="B64" s="6" t="s">
        <v>59</v>
      </c>
      <c r="C64" s="4">
        <v>1</v>
      </c>
      <c r="D64" s="4">
        <v>5.6</v>
      </c>
      <c r="E64" s="4">
        <v>4.3</v>
      </c>
      <c r="F64" s="4">
        <v>0.15</v>
      </c>
      <c r="G64" s="4">
        <f t="shared" si="3"/>
        <v>3.612</v>
      </c>
      <c r="H64" s="4">
        <v>5.6</v>
      </c>
    </row>
    <row r="65" spans="1:8">
      <c r="A65" s="4"/>
      <c r="B65" s="6" t="s">
        <v>60</v>
      </c>
      <c r="C65" s="4">
        <v>1</v>
      </c>
      <c r="D65" s="4">
        <v>2.3</v>
      </c>
      <c r="E65" s="4">
        <v>3.5</v>
      </c>
      <c r="F65" s="4">
        <v>0.15</v>
      </c>
      <c r="G65" s="4">
        <f t="shared" si="3"/>
        <v>1.2075</v>
      </c>
      <c r="H65" s="4">
        <v>2.3</v>
      </c>
    </row>
    <row r="66" spans="1:8">
      <c r="A66" s="4"/>
      <c r="B66" s="6" t="s">
        <v>61</v>
      </c>
      <c r="C66" s="4">
        <v>1</v>
      </c>
      <c r="D66" s="4">
        <v>2.3</v>
      </c>
      <c r="E66" s="4">
        <v>4.3</v>
      </c>
      <c r="F66" s="4">
        <v>0.15</v>
      </c>
      <c r="G66" s="4">
        <f t="shared" si="3"/>
        <v>1.4835</v>
      </c>
      <c r="H66" s="4">
        <v>2.3</v>
      </c>
    </row>
    <row r="67" spans="1:8">
      <c r="A67" s="4"/>
      <c r="B67" s="6"/>
      <c r="C67" s="4"/>
      <c r="D67" s="4"/>
      <c r="E67" s="4" t="s">
        <v>51</v>
      </c>
      <c r="F67" s="4"/>
      <c r="G67" s="4">
        <f>SUM(G61:G66)</f>
        <v>22.242</v>
      </c>
      <c r="H67" s="4"/>
    </row>
    <row r="68" spans="1:8">
      <c r="A68" s="4"/>
      <c r="B68" s="6"/>
      <c r="C68" s="4"/>
      <c r="D68" s="4"/>
      <c r="E68" s="4"/>
      <c r="F68" s="4"/>
      <c r="G68" s="4"/>
      <c r="H68" s="4"/>
    </row>
    <row r="69" spans="1:8">
      <c r="A69" s="4">
        <v>7</v>
      </c>
      <c r="B69" s="6" t="s">
        <v>35</v>
      </c>
      <c r="C69" s="4"/>
      <c r="D69" s="4"/>
      <c r="E69" s="4"/>
      <c r="F69" s="4"/>
      <c r="G69" s="4"/>
      <c r="H69" s="4"/>
    </row>
    <row r="70" spans="1:8">
      <c r="A70" s="4"/>
      <c r="B70" s="6" t="s">
        <v>60</v>
      </c>
      <c r="C70" s="4">
        <v>1</v>
      </c>
      <c r="D70" s="4">
        <v>10</v>
      </c>
      <c r="E70" s="8" t="s">
        <v>55</v>
      </c>
      <c r="F70" s="4">
        <v>3.15</v>
      </c>
      <c r="G70" s="4">
        <f>C70*D70*F70</f>
        <v>31.5</v>
      </c>
      <c r="H70" s="4"/>
    </row>
    <row r="71" spans="1:8">
      <c r="A71" s="4"/>
      <c r="B71" s="6" t="s">
        <v>61</v>
      </c>
      <c r="C71" s="4">
        <v>1</v>
      </c>
      <c r="D71" s="4">
        <v>12</v>
      </c>
      <c r="E71" s="8" t="s">
        <v>55</v>
      </c>
      <c r="F71" s="4">
        <v>3.15</v>
      </c>
      <c r="G71" s="4">
        <f t="shared" ref="G71:G76" si="4">C71*D71*F71</f>
        <v>37.8</v>
      </c>
      <c r="H71" s="4"/>
    </row>
    <row r="72" spans="1:8">
      <c r="A72" s="4"/>
      <c r="B72" s="6" t="s">
        <v>62</v>
      </c>
      <c r="C72" s="4">
        <v>1</v>
      </c>
      <c r="D72" s="4">
        <v>20.6</v>
      </c>
      <c r="E72" s="8" t="s">
        <v>55</v>
      </c>
      <c r="F72" s="4">
        <v>3.15</v>
      </c>
      <c r="G72" s="4">
        <f t="shared" si="4"/>
        <v>64.89</v>
      </c>
      <c r="H72" s="4"/>
    </row>
    <row r="73" spans="1:8">
      <c r="A73" s="4"/>
      <c r="B73" s="6" t="s">
        <v>59</v>
      </c>
      <c r="C73" s="4">
        <v>1</v>
      </c>
      <c r="D73" s="4">
        <v>18.6</v>
      </c>
      <c r="E73" s="8" t="s">
        <v>55</v>
      </c>
      <c r="F73" s="4">
        <v>3.15</v>
      </c>
      <c r="G73" s="4">
        <f t="shared" si="4"/>
        <v>58.59</v>
      </c>
      <c r="H73" s="4"/>
    </row>
    <row r="74" spans="1:8">
      <c r="A74" s="4"/>
      <c r="B74" s="6" t="s">
        <v>63</v>
      </c>
      <c r="C74" s="4">
        <v>1</v>
      </c>
      <c r="D74" s="4">
        <v>12.8</v>
      </c>
      <c r="E74" s="8" t="s">
        <v>55</v>
      </c>
      <c r="F74" s="4">
        <v>3.15</v>
      </c>
      <c r="G74" s="4">
        <f t="shared" si="4"/>
        <v>40.32</v>
      </c>
      <c r="H74" s="4"/>
    </row>
    <row r="75" spans="1:8">
      <c r="A75" s="4"/>
      <c r="B75" s="6" t="s">
        <v>64</v>
      </c>
      <c r="C75" s="4">
        <v>1</v>
      </c>
      <c r="D75" s="4">
        <v>14.8</v>
      </c>
      <c r="E75" s="8" t="s">
        <v>55</v>
      </c>
      <c r="F75" s="4">
        <v>3.15</v>
      </c>
      <c r="G75" s="4">
        <f t="shared" si="4"/>
        <v>46.62</v>
      </c>
      <c r="H75" s="4"/>
    </row>
    <row r="76" spans="1:8">
      <c r="A76" s="4"/>
      <c r="B76" s="6" t="s">
        <v>57</v>
      </c>
      <c r="C76" s="4">
        <v>1</v>
      </c>
      <c r="D76" s="4">
        <v>25.2</v>
      </c>
      <c r="E76" s="8" t="s">
        <v>55</v>
      </c>
      <c r="F76" s="4">
        <v>3.15</v>
      </c>
      <c r="G76" s="4">
        <f t="shared" si="4"/>
        <v>79.38</v>
      </c>
      <c r="H76" s="4"/>
    </row>
    <row r="77" spans="1:8">
      <c r="A77" s="4"/>
      <c r="B77" s="12"/>
      <c r="C77" s="4"/>
      <c r="D77" s="4"/>
      <c r="E77" s="8" t="s">
        <v>65</v>
      </c>
      <c r="F77" s="8"/>
      <c r="G77" s="4">
        <f>SUM(G70:G76)</f>
        <v>359.1</v>
      </c>
      <c r="H77" s="4"/>
    </row>
    <row r="78" spans="1:8">
      <c r="A78" s="4"/>
      <c r="B78" s="5" t="s">
        <v>42</v>
      </c>
      <c r="C78" s="4"/>
      <c r="D78" s="4"/>
      <c r="E78" s="8"/>
      <c r="F78" s="4"/>
      <c r="G78" s="4"/>
      <c r="H78" s="4"/>
    </row>
    <row r="79" spans="1:8">
      <c r="A79" s="4"/>
      <c r="B79" s="7" t="s">
        <v>44</v>
      </c>
      <c r="C79" s="4">
        <v>1</v>
      </c>
      <c r="D79" s="4">
        <v>1</v>
      </c>
      <c r="E79" s="8" t="s">
        <v>55</v>
      </c>
      <c r="F79" s="4">
        <v>2.1</v>
      </c>
      <c r="G79" s="4">
        <f>C79*D79*F79</f>
        <v>2.1</v>
      </c>
      <c r="H79" s="4"/>
    </row>
    <row r="80" spans="1:8">
      <c r="A80" s="4"/>
      <c r="B80" s="7" t="s">
        <v>45</v>
      </c>
      <c r="C80" s="4">
        <v>4</v>
      </c>
      <c r="D80" s="4">
        <v>0.9</v>
      </c>
      <c r="E80" s="8" t="s">
        <v>55</v>
      </c>
      <c r="F80" s="4">
        <v>2.1</v>
      </c>
      <c r="G80" s="4">
        <f t="shared" ref="G80:G84" si="5">C80*D80*F80</f>
        <v>7.56</v>
      </c>
      <c r="H80" s="4"/>
    </row>
    <row r="81" spans="1:8">
      <c r="A81" s="4"/>
      <c r="B81" s="7" t="s">
        <v>47</v>
      </c>
      <c r="C81" s="4">
        <v>3</v>
      </c>
      <c r="D81" s="4">
        <v>1</v>
      </c>
      <c r="E81" s="8" t="s">
        <v>55</v>
      </c>
      <c r="F81" s="4">
        <v>1.5</v>
      </c>
      <c r="G81" s="4">
        <f t="shared" si="5"/>
        <v>4.5</v>
      </c>
      <c r="H81" s="4"/>
    </row>
    <row r="82" spans="1:8">
      <c r="A82" s="4"/>
      <c r="B82" s="7" t="s">
        <v>48</v>
      </c>
      <c r="C82" s="4">
        <v>3</v>
      </c>
      <c r="D82" s="4">
        <v>1</v>
      </c>
      <c r="E82" s="8" t="s">
        <v>55</v>
      </c>
      <c r="F82" s="4">
        <v>1.2</v>
      </c>
      <c r="G82" s="4">
        <f t="shared" si="5"/>
        <v>3.6</v>
      </c>
      <c r="H82" s="4"/>
    </row>
    <row r="83" spans="1:8">
      <c r="A83" s="4"/>
      <c r="B83" s="7" t="s">
        <v>49</v>
      </c>
      <c r="C83" s="4">
        <v>2</v>
      </c>
      <c r="D83" s="4">
        <v>0.9</v>
      </c>
      <c r="E83" s="8" t="s">
        <v>55</v>
      </c>
      <c r="F83" s="4">
        <v>0.6</v>
      </c>
      <c r="G83" s="4">
        <f t="shared" si="5"/>
        <v>1.08</v>
      </c>
      <c r="H83" s="4"/>
    </row>
    <row r="84" spans="1:8">
      <c r="A84" s="4"/>
      <c r="B84" s="7" t="s">
        <v>50</v>
      </c>
      <c r="C84" s="4">
        <v>2</v>
      </c>
      <c r="D84" s="4">
        <v>0.8</v>
      </c>
      <c r="E84" s="8" t="s">
        <v>55</v>
      </c>
      <c r="F84" s="4">
        <v>2.1</v>
      </c>
      <c r="G84" s="4">
        <f t="shared" si="5"/>
        <v>3.36</v>
      </c>
      <c r="H84" s="4"/>
    </row>
    <row r="85" spans="1:8">
      <c r="A85" s="4"/>
      <c r="B85" s="7"/>
      <c r="C85" s="4"/>
      <c r="D85" s="4"/>
      <c r="E85" s="8" t="s">
        <v>65</v>
      </c>
      <c r="F85" s="8"/>
      <c r="G85" s="4">
        <f>SUM(G79:G84)</f>
        <v>22.2</v>
      </c>
      <c r="H85" s="4"/>
    </row>
    <row r="86" spans="1:8">
      <c r="A86" s="4"/>
      <c r="B86" s="8" t="s">
        <v>66</v>
      </c>
      <c r="C86" s="8"/>
      <c r="D86" s="8"/>
      <c r="E86" s="8"/>
      <c r="F86" s="8"/>
      <c r="G86" s="4">
        <f>G77-G85</f>
        <v>336.9</v>
      </c>
      <c r="H86" s="4"/>
    </row>
    <row r="87" spans="1:8">
      <c r="A87" s="4"/>
      <c r="B87" s="8"/>
      <c r="C87" s="8"/>
      <c r="D87" s="8"/>
      <c r="E87" s="8"/>
      <c r="F87" s="8"/>
      <c r="G87" s="4"/>
      <c r="H87" s="4"/>
    </row>
    <row r="88" spans="1:8">
      <c r="A88" s="4">
        <v>8</v>
      </c>
      <c r="B88" s="6" t="s">
        <v>36</v>
      </c>
      <c r="C88" s="8">
        <v>1</v>
      </c>
      <c r="D88" s="8">
        <v>60.9</v>
      </c>
      <c r="E88" s="8" t="s">
        <v>55</v>
      </c>
      <c r="F88" s="8">
        <v>3.15</v>
      </c>
      <c r="G88" s="4">
        <f t="shared" ref="G88" si="6">C88*D88*F88</f>
        <v>191.835</v>
      </c>
      <c r="H88" s="4"/>
    </row>
    <row r="89" spans="1:8">
      <c r="A89" s="4"/>
      <c r="B89" s="6"/>
      <c r="C89" s="8"/>
      <c r="D89" s="8"/>
      <c r="E89" s="8"/>
      <c r="F89" s="8"/>
      <c r="G89" s="4"/>
      <c r="H89" s="4"/>
    </row>
    <row r="90" spans="1:8">
      <c r="A90" s="4">
        <v>9</v>
      </c>
      <c r="B90" s="6" t="s">
        <v>37</v>
      </c>
      <c r="C90" s="4"/>
      <c r="D90" s="4"/>
      <c r="E90" s="4"/>
      <c r="F90" s="4"/>
      <c r="G90" s="4"/>
      <c r="H90" s="4"/>
    </row>
    <row r="91" spans="1:8">
      <c r="A91" s="4"/>
      <c r="B91" s="6" t="s">
        <v>60</v>
      </c>
      <c r="C91" s="4">
        <v>1</v>
      </c>
      <c r="D91" s="4">
        <v>3</v>
      </c>
      <c r="E91" s="4">
        <v>2</v>
      </c>
      <c r="F91" s="8" t="s">
        <v>55</v>
      </c>
      <c r="G91" s="4">
        <f>C91*D91*E91</f>
        <v>6</v>
      </c>
      <c r="H91" s="4"/>
    </row>
    <row r="92" spans="1:8">
      <c r="A92" s="4"/>
      <c r="B92" s="6" t="s">
        <v>61</v>
      </c>
      <c r="C92" s="4">
        <v>1</v>
      </c>
      <c r="D92" s="4">
        <v>4</v>
      </c>
      <c r="E92" s="4">
        <v>2</v>
      </c>
      <c r="F92" s="8" t="s">
        <v>55</v>
      </c>
      <c r="G92" s="4">
        <f t="shared" ref="G92:G97" si="7">C92*D92*E92</f>
        <v>8</v>
      </c>
      <c r="H92" s="4"/>
    </row>
    <row r="93" spans="1:8">
      <c r="A93" s="4"/>
      <c r="B93" s="6" t="s">
        <v>62</v>
      </c>
      <c r="C93" s="4">
        <v>1</v>
      </c>
      <c r="D93" s="4">
        <v>5</v>
      </c>
      <c r="E93" s="4">
        <v>5.3</v>
      </c>
      <c r="F93" s="8" t="s">
        <v>55</v>
      </c>
      <c r="G93" s="4">
        <f t="shared" si="7"/>
        <v>26.5</v>
      </c>
      <c r="H93" s="4"/>
    </row>
    <row r="94" spans="1:8">
      <c r="A94" s="4"/>
      <c r="B94" s="6" t="s">
        <v>59</v>
      </c>
      <c r="C94" s="4">
        <v>1</v>
      </c>
      <c r="D94" s="4">
        <v>4</v>
      </c>
      <c r="E94" s="4">
        <v>5.3</v>
      </c>
      <c r="F94" s="8" t="s">
        <v>55</v>
      </c>
      <c r="G94" s="4">
        <f t="shared" si="7"/>
        <v>21.2</v>
      </c>
      <c r="H94" s="4"/>
    </row>
    <row r="95" spans="1:8">
      <c r="A95" s="4"/>
      <c r="B95" s="6" t="s">
        <v>63</v>
      </c>
      <c r="C95" s="4">
        <v>1</v>
      </c>
      <c r="D95" s="4">
        <v>3.5</v>
      </c>
      <c r="E95" s="4">
        <v>2.9</v>
      </c>
      <c r="F95" s="8" t="s">
        <v>55</v>
      </c>
      <c r="G95" s="4">
        <f t="shared" si="7"/>
        <v>10.15</v>
      </c>
      <c r="H95" s="4"/>
    </row>
    <row r="96" spans="1:8">
      <c r="A96" s="4"/>
      <c r="B96" s="6" t="s">
        <v>64</v>
      </c>
      <c r="C96" s="4">
        <v>1</v>
      </c>
      <c r="D96" s="4">
        <v>3.5</v>
      </c>
      <c r="E96" s="4">
        <v>3.9</v>
      </c>
      <c r="F96" s="8" t="s">
        <v>55</v>
      </c>
      <c r="G96" s="4">
        <f t="shared" si="7"/>
        <v>13.65</v>
      </c>
      <c r="H96" s="4"/>
    </row>
    <row r="97" spans="1:8">
      <c r="A97" s="4"/>
      <c r="B97" s="6" t="s">
        <v>57</v>
      </c>
      <c r="C97" s="4">
        <v>1</v>
      </c>
      <c r="D97" s="4">
        <v>5.5</v>
      </c>
      <c r="E97" s="4">
        <v>7.1</v>
      </c>
      <c r="F97" s="8" t="s">
        <v>55</v>
      </c>
      <c r="G97" s="4">
        <f t="shared" si="7"/>
        <v>39.05</v>
      </c>
      <c r="H97" s="4"/>
    </row>
    <row r="98" spans="1:8">
      <c r="A98" s="4"/>
      <c r="B98" s="6"/>
      <c r="C98" s="4"/>
      <c r="D98" s="4"/>
      <c r="E98" s="8" t="s">
        <v>65</v>
      </c>
      <c r="F98" s="8"/>
      <c r="G98" s="4">
        <f>SUM(G91:G97)</f>
        <v>124.55</v>
      </c>
      <c r="H98" s="4"/>
    </row>
    <row r="99" spans="1:8">
      <c r="A99" s="4"/>
      <c r="B99" s="6"/>
      <c r="C99" s="4"/>
      <c r="D99" s="4"/>
      <c r="E99" s="8"/>
      <c r="F99" s="8"/>
      <c r="G99" s="4"/>
      <c r="H99" s="4"/>
    </row>
    <row r="100" spans="1:8">
      <c r="A100" s="4">
        <v>10</v>
      </c>
      <c r="B100" s="6" t="s">
        <v>67</v>
      </c>
      <c r="C100" s="4">
        <v>1</v>
      </c>
      <c r="D100" s="4">
        <v>13.3</v>
      </c>
      <c r="E100" s="8">
        <v>9.8</v>
      </c>
      <c r="F100" s="8" t="s">
        <v>55</v>
      </c>
      <c r="G100" s="4">
        <f>C100*D100*E100</f>
        <v>130.34</v>
      </c>
      <c r="H100" s="4">
        <v>13.3</v>
      </c>
    </row>
    <row r="101" spans="1:8">
      <c r="A101" s="4"/>
      <c r="B101" s="6" t="s">
        <v>68</v>
      </c>
      <c r="C101" s="4">
        <v>1</v>
      </c>
      <c r="D101" s="4">
        <v>2.3</v>
      </c>
      <c r="E101" s="8">
        <v>7.8</v>
      </c>
      <c r="F101" s="8" t="s">
        <v>55</v>
      </c>
      <c r="G101" s="4">
        <f>C101*D101*E101</f>
        <v>17.94</v>
      </c>
      <c r="H101" s="4">
        <v>2.3</v>
      </c>
    </row>
    <row r="102" spans="1:8">
      <c r="A102" s="4"/>
      <c r="B102" s="6"/>
      <c r="C102" s="4"/>
      <c r="D102" s="4"/>
      <c r="E102" s="8" t="s">
        <v>65</v>
      </c>
      <c r="F102" s="8"/>
      <c r="G102" s="4">
        <f>SUM(G100:G101)</f>
        <v>148.28</v>
      </c>
      <c r="H102" s="4"/>
    </row>
    <row r="103" spans="1:8">
      <c r="A103" s="4"/>
      <c r="B103" s="6"/>
      <c r="C103" s="4"/>
      <c r="D103" s="4"/>
      <c r="E103" s="8"/>
      <c r="F103" s="8"/>
      <c r="G103" s="4"/>
      <c r="H103" s="4"/>
    </row>
    <row r="104" spans="1:8">
      <c r="A104" s="4">
        <v>11</v>
      </c>
      <c r="B104" s="6" t="s">
        <v>69</v>
      </c>
      <c r="C104" s="4"/>
      <c r="D104" s="4"/>
      <c r="E104" s="8"/>
      <c r="F104" s="8"/>
      <c r="G104" s="4"/>
      <c r="H104" s="4"/>
    </row>
    <row r="105" spans="1:8">
      <c r="A105" s="4"/>
      <c r="B105" s="6" t="s">
        <v>47</v>
      </c>
      <c r="C105" s="4">
        <v>3</v>
      </c>
      <c r="D105" s="4">
        <v>1.3</v>
      </c>
      <c r="E105" s="8">
        <v>0.5</v>
      </c>
      <c r="F105" s="8">
        <v>0.1</v>
      </c>
      <c r="G105" s="4">
        <f t="shared" ref="G105:G106" si="8">C105*D105*E105*F105</f>
        <v>0.195</v>
      </c>
      <c r="H105" s="4">
        <v>1.3</v>
      </c>
    </row>
    <row r="106" spans="1:8">
      <c r="A106" s="4"/>
      <c r="B106" s="4" t="s">
        <v>48</v>
      </c>
      <c r="C106" s="4">
        <v>3</v>
      </c>
      <c r="D106" s="4">
        <v>1.3</v>
      </c>
      <c r="E106" s="8">
        <v>0.5</v>
      </c>
      <c r="F106" s="8">
        <v>0.1</v>
      </c>
      <c r="G106" s="4">
        <f t="shared" si="8"/>
        <v>0.195</v>
      </c>
      <c r="H106" s="4">
        <v>1.3</v>
      </c>
    </row>
    <row r="107" spans="1:8">
      <c r="A107" s="4"/>
      <c r="B107" s="4"/>
      <c r="C107" s="4"/>
      <c r="D107" s="4"/>
      <c r="E107" s="4" t="s">
        <v>51</v>
      </c>
      <c r="F107" s="4"/>
      <c r="G107" s="4">
        <f>SUM(G105:G106)</f>
        <v>0.39</v>
      </c>
      <c r="H107" s="4"/>
    </row>
    <row r="108" spans="1:8">
      <c r="A108" s="13"/>
      <c r="B108" s="13"/>
      <c r="C108" s="13"/>
      <c r="D108" s="13"/>
      <c r="E108" s="14"/>
      <c r="F108" s="14"/>
      <c r="G108" s="13"/>
      <c r="H108" s="13"/>
    </row>
    <row r="109" spans="1:8">
      <c r="A109" s="13"/>
      <c r="B109" s="13"/>
      <c r="C109" s="13"/>
      <c r="D109" s="13"/>
      <c r="E109" s="14"/>
      <c r="F109" s="14"/>
      <c r="G109" s="13"/>
      <c r="H109" s="13"/>
    </row>
    <row r="110" ht="18" spans="2:7">
      <c r="B110" s="15" t="s">
        <v>70</v>
      </c>
      <c r="C110" s="15"/>
      <c r="D110" s="15"/>
      <c r="E110" s="15"/>
      <c r="F110" s="15"/>
      <c r="G110" s="15"/>
    </row>
    <row r="112" spans="1:8">
      <c r="A112" s="3" t="s">
        <v>8</v>
      </c>
      <c r="B112" s="3" t="s">
        <v>9</v>
      </c>
      <c r="C112" s="3" t="s">
        <v>10</v>
      </c>
      <c r="D112" s="3" t="s">
        <v>11</v>
      </c>
      <c r="E112" s="3" t="s">
        <v>12</v>
      </c>
      <c r="F112" s="3" t="s">
        <v>13</v>
      </c>
      <c r="G112" s="3" t="s">
        <v>14</v>
      </c>
      <c r="H112" s="3" t="s">
        <v>15</v>
      </c>
    </row>
    <row r="113" spans="1:8">
      <c r="A113" s="4">
        <v>1</v>
      </c>
      <c r="B113" s="4" t="s">
        <v>16</v>
      </c>
      <c r="C113" s="4"/>
      <c r="D113" s="4"/>
      <c r="E113" s="4"/>
      <c r="F113" s="4"/>
      <c r="G113" s="4"/>
      <c r="H113" s="4"/>
    </row>
    <row r="114" spans="1:8">
      <c r="A114" s="4"/>
      <c r="B114" s="4" t="s">
        <v>17</v>
      </c>
      <c r="C114" s="4"/>
      <c r="D114" s="4"/>
      <c r="E114" s="4"/>
      <c r="F114" s="4"/>
      <c r="G114" s="4"/>
      <c r="H114" s="4"/>
    </row>
    <row r="115" spans="1:8">
      <c r="A115" s="4"/>
      <c r="B115" s="4" t="s">
        <v>71</v>
      </c>
      <c r="C115" s="4">
        <v>2</v>
      </c>
      <c r="D115" s="4">
        <v>14</v>
      </c>
      <c r="E115" s="4">
        <v>1</v>
      </c>
      <c r="F115" s="4">
        <v>1</v>
      </c>
      <c r="G115" s="4">
        <f>C115*D115*E115*F115</f>
        <v>28</v>
      </c>
      <c r="H115" s="4">
        <v>14</v>
      </c>
    </row>
    <row r="116" spans="1:8">
      <c r="A116" s="4"/>
      <c r="B116" s="4" t="s">
        <v>72</v>
      </c>
      <c r="C116" s="4">
        <v>2</v>
      </c>
      <c r="D116" s="4">
        <v>3.3</v>
      </c>
      <c r="E116" s="4">
        <v>1</v>
      </c>
      <c r="F116" s="4">
        <v>1</v>
      </c>
      <c r="G116" s="4">
        <f t="shared" ref="G116:G118" si="9">C116*D116*E116*F116</f>
        <v>6.6</v>
      </c>
      <c r="H116" s="4">
        <v>3.3</v>
      </c>
    </row>
    <row r="117" spans="1:8">
      <c r="A117" s="4"/>
      <c r="B117" s="4" t="s">
        <v>73</v>
      </c>
      <c r="C117" s="4">
        <v>3</v>
      </c>
      <c r="D117" s="4">
        <v>7.7</v>
      </c>
      <c r="E117" s="4">
        <v>1</v>
      </c>
      <c r="F117" s="4">
        <v>1</v>
      </c>
      <c r="G117" s="4">
        <f t="shared" si="9"/>
        <v>23.1</v>
      </c>
      <c r="H117" s="4">
        <v>7.7</v>
      </c>
    </row>
    <row r="118" spans="1:8">
      <c r="A118" s="4"/>
      <c r="B118" s="4" t="s">
        <v>74</v>
      </c>
      <c r="C118" s="4">
        <v>1</v>
      </c>
      <c r="D118" s="4">
        <v>6.5</v>
      </c>
      <c r="E118" s="4">
        <v>1</v>
      </c>
      <c r="F118" s="4">
        <v>1</v>
      </c>
      <c r="G118" s="4">
        <f t="shared" si="9"/>
        <v>6.5</v>
      </c>
      <c r="H118" s="4">
        <v>6.5</v>
      </c>
    </row>
    <row r="119" spans="1:8">
      <c r="A119" s="4"/>
      <c r="B119" s="4" t="s">
        <v>18</v>
      </c>
      <c r="C119" s="4"/>
      <c r="D119" s="4"/>
      <c r="E119" s="4"/>
      <c r="F119" s="4"/>
      <c r="G119" s="4"/>
      <c r="H119" s="4"/>
    </row>
    <row r="120" spans="1:8">
      <c r="A120" s="4"/>
      <c r="B120" s="4" t="s">
        <v>71</v>
      </c>
      <c r="C120" s="4">
        <v>1</v>
      </c>
      <c r="D120" s="4">
        <v>6.55</v>
      </c>
      <c r="E120" s="4">
        <v>0.75</v>
      </c>
      <c r="F120" s="4">
        <v>0.5</v>
      </c>
      <c r="G120" s="4">
        <f>C120*D120*E120*F120</f>
        <v>2.45625</v>
      </c>
      <c r="H120" s="4">
        <v>6.55</v>
      </c>
    </row>
    <row r="121" spans="1:8">
      <c r="A121" s="4"/>
      <c r="B121" s="4" t="s">
        <v>72</v>
      </c>
      <c r="C121" s="4">
        <v>1</v>
      </c>
      <c r="D121" s="4">
        <v>7.15</v>
      </c>
      <c r="E121" s="4">
        <v>0.75</v>
      </c>
      <c r="F121" s="4">
        <v>0.5</v>
      </c>
      <c r="G121" s="4">
        <f t="shared" ref="G121:G122" si="10">C121*D121*E121*F121</f>
        <v>2.68125</v>
      </c>
      <c r="H121" s="4">
        <v>7.15</v>
      </c>
    </row>
    <row r="122" spans="1:8">
      <c r="A122" s="4"/>
      <c r="B122" s="4" t="s">
        <v>73</v>
      </c>
      <c r="C122" s="4">
        <v>1</v>
      </c>
      <c r="D122" s="4">
        <v>3.05</v>
      </c>
      <c r="E122" s="4">
        <v>0.75</v>
      </c>
      <c r="F122" s="4">
        <v>0.5</v>
      </c>
      <c r="G122" s="4">
        <f t="shared" si="10"/>
        <v>1.14375</v>
      </c>
      <c r="H122" s="4">
        <v>3.05</v>
      </c>
    </row>
    <row r="123" spans="1:8">
      <c r="A123" s="4"/>
      <c r="B123" s="4"/>
      <c r="C123" s="4"/>
      <c r="D123" s="4"/>
      <c r="E123" s="4" t="s">
        <v>51</v>
      </c>
      <c r="F123" s="4"/>
      <c r="G123" s="4">
        <f>SUM(G115:G122)</f>
        <v>70.48125</v>
      </c>
      <c r="H123" s="4"/>
    </row>
    <row r="124" spans="1:8">
      <c r="A124" s="4"/>
      <c r="B124" s="4"/>
      <c r="C124" s="4"/>
      <c r="D124" s="4"/>
      <c r="E124" s="4"/>
      <c r="F124" s="4"/>
      <c r="G124" s="4"/>
      <c r="H124" s="4"/>
    </row>
    <row r="125" spans="1:8">
      <c r="A125" s="4">
        <v>2</v>
      </c>
      <c r="B125" s="4" t="s">
        <v>20</v>
      </c>
      <c r="C125" s="4"/>
      <c r="D125" s="4"/>
      <c r="E125" s="4"/>
      <c r="F125" s="4"/>
      <c r="G125" s="4"/>
      <c r="H125" s="4"/>
    </row>
    <row r="126" spans="1:8">
      <c r="A126" s="4"/>
      <c r="B126" s="4" t="s">
        <v>17</v>
      </c>
      <c r="C126" s="4"/>
      <c r="D126" s="4"/>
      <c r="E126" s="4"/>
      <c r="F126" s="4"/>
      <c r="G126" s="4"/>
      <c r="H126" s="4"/>
    </row>
    <row r="127" spans="1:8">
      <c r="A127" s="4"/>
      <c r="B127" s="4" t="s">
        <v>71</v>
      </c>
      <c r="C127" s="4">
        <v>2</v>
      </c>
      <c r="D127" s="4">
        <v>14</v>
      </c>
      <c r="E127" s="4">
        <v>1</v>
      </c>
      <c r="F127" s="4">
        <v>0.2</v>
      </c>
      <c r="G127" s="4">
        <f>C127*D127*E127*F127</f>
        <v>5.6</v>
      </c>
      <c r="H127" s="4">
        <v>14</v>
      </c>
    </row>
    <row r="128" spans="1:8">
      <c r="A128" s="4"/>
      <c r="B128" s="4" t="s">
        <v>72</v>
      </c>
      <c r="C128" s="4">
        <v>2</v>
      </c>
      <c r="D128" s="4">
        <v>3.3</v>
      </c>
      <c r="E128" s="4">
        <v>1</v>
      </c>
      <c r="F128" s="4">
        <v>0.2</v>
      </c>
      <c r="G128" s="4">
        <f t="shared" ref="G128:G130" si="11">C128*D128*E128*F128</f>
        <v>1.32</v>
      </c>
      <c r="H128" s="4">
        <v>3.3</v>
      </c>
    </row>
    <row r="129" spans="1:8">
      <c r="A129" s="4"/>
      <c r="B129" s="4" t="s">
        <v>73</v>
      </c>
      <c r="C129" s="4">
        <v>3</v>
      </c>
      <c r="D129" s="4">
        <v>7.7</v>
      </c>
      <c r="E129" s="4">
        <v>1</v>
      </c>
      <c r="F129" s="4">
        <v>0.2</v>
      </c>
      <c r="G129" s="4">
        <f t="shared" si="11"/>
        <v>4.62</v>
      </c>
      <c r="H129" s="4">
        <v>7.7</v>
      </c>
    </row>
    <row r="130" spans="1:8">
      <c r="A130" s="4"/>
      <c r="B130" s="4" t="s">
        <v>74</v>
      </c>
      <c r="C130" s="4">
        <v>1</v>
      </c>
      <c r="D130" s="4">
        <v>6.5</v>
      </c>
      <c r="E130" s="4">
        <v>1</v>
      </c>
      <c r="F130" s="4">
        <v>0.2</v>
      </c>
      <c r="G130" s="4">
        <f t="shared" si="11"/>
        <v>1.3</v>
      </c>
      <c r="H130" s="4">
        <v>6.5</v>
      </c>
    </row>
    <row r="131" spans="1:8">
      <c r="A131" s="4"/>
      <c r="B131" s="4" t="s">
        <v>18</v>
      </c>
      <c r="C131" s="4"/>
      <c r="D131" s="4"/>
      <c r="E131" s="4"/>
      <c r="F131" s="4"/>
      <c r="G131" s="4"/>
      <c r="H131" s="4"/>
    </row>
    <row r="132" spans="1:8">
      <c r="A132" s="4"/>
      <c r="B132" s="4" t="s">
        <v>71</v>
      </c>
      <c r="C132" s="4">
        <v>1</v>
      </c>
      <c r="D132" s="4">
        <v>6.55</v>
      </c>
      <c r="E132" s="4">
        <v>0.75</v>
      </c>
      <c r="F132" s="4">
        <v>0.1</v>
      </c>
      <c r="G132" s="4">
        <f>C132*D132*E132*F132</f>
        <v>0.49125</v>
      </c>
      <c r="H132" s="4">
        <v>6.55</v>
      </c>
    </row>
    <row r="133" spans="1:8">
      <c r="A133" s="4"/>
      <c r="B133" s="4" t="s">
        <v>72</v>
      </c>
      <c r="C133" s="4">
        <v>1</v>
      </c>
      <c r="D133" s="4">
        <v>7.15</v>
      </c>
      <c r="E133" s="4">
        <v>0.75</v>
      </c>
      <c r="F133" s="4">
        <v>0.1</v>
      </c>
      <c r="G133" s="4">
        <f t="shared" ref="G133:G134" si="12">C133*D133*E133*F133</f>
        <v>0.53625</v>
      </c>
      <c r="H133" s="4">
        <v>7.15</v>
      </c>
    </row>
    <row r="134" spans="1:8">
      <c r="A134" s="4"/>
      <c r="B134" s="4" t="s">
        <v>73</v>
      </c>
      <c r="C134" s="4">
        <v>1</v>
      </c>
      <c r="D134" s="4">
        <v>3.05</v>
      </c>
      <c r="E134" s="4">
        <v>0.75</v>
      </c>
      <c r="F134" s="4">
        <v>0.1</v>
      </c>
      <c r="G134" s="4">
        <f t="shared" si="12"/>
        <v>0.22875</v>
      </c>
      <c r="H134" s="4">
        <v>3.05</v>
      </c>
    </row>
    <row r="135" spans="1:8">
      <c r="A135" s="4"/>
      <c r="B135" s="4"/>
      <c r="C135" s="4"/>
      <c r="D135" s="4"/>
      <c r="E135" s="4" t="s">
        <v>51</v>
      </c>
      <c r="F135" s="4"/>
      <c r="G135" s="4">
        <f>SUM(G127:G134)</f>
        <v>14.09625</v>
      </c>
      <c r="H135" s="4"/>
    </row>
    <row r="136" spans="1:8">
      <c r="A136" s="4"/>
      <c r="B136" s="4"/>
      <c r="C136" s="4"/>
      <c r="D136" s="4"/>
      <c r="E136" s="4"/>
      <c r="F136" s="4"/>
      <c r="G136" s="4"/>
      <c r="H136" s="4"/>
    </row>
    <row r="137" spans="1:8">
      <c r="A137" s="4">
        <v>3</v>
      </c>
      <c r="B137" s="4" t="s">
        <v>21</v>
      </c>
      <c r="C137" s="4"/>
      <c r="D137" s="4"/>
      <c r="E137" s="4"/>
      <c r="F137" s="4"/>
      <c r="G137" s="4"/>
      <c r="H137" s="4"/>
    </row>
    <row r="138" spans="1:8">
      <c r="A138" s="4"/>
      <c r="B138" s="4" t="s">
        <v>75</v>
      </c>
      <c r="C138" s="4"/>
      <c r="D138" s="4"/>
      <c r="E138" s="4"/>
      <c r="F138" s="4"/>
      <c r="G138" s="4"/>
      <c r="H138" s="4"/>
    </row>
    <row r="139" spans="1:8">
      <c r="A139" s="4"/>
      <c r="B139" s="4" t="s">
        <v>71</v>
      </c>
      <c r="C139" s="4">
        <v>2</v>
      </c>
      <c r="D139" s="4">
        <v>13.75</v>
      </c>
      <c r="E139" s="4">
        <v>0.75</v>
      </c>
      <c r="F139" s="4">
        <v>0.4</v>
      </c>
      <c r="G139" s="4">
        <f>C139*D139*E139*F139</f>
        <v>8.25</v>
      </c>
      <c r="H139" s="4">
        <v>13.75</v>
      </c>
    </row>
    <row r="140" spans="1:8">
      <c r="A140" s="4"/>
      <c r="B140" s="4" t="s">
        <v>72</v>
      </c>
      <c r="C140" s="4">
        <v>2</v>
      </c>
      <c r="D140" s="4">
        <v>3.05</v>
      </c>
      <c r="E140" s="4">
        <v>0.75</v>
      </c>
      <c r="F140" s="4">
        <v>0.4</v>
      </c>
      <c r="G140" s="4">
        <f t="shared" ref="G140:G142" si="13">C140*D140*E140*F140</f>
        <v>1.83</v>
      </c>
      <c r="H140" s="4">
        <v>3.05</v>
      </c>
    </row>
    <row r="141" spans="1:8">
      <c r="A141" s="4"/>
      <c r="B141" s="4" t="s">
        <v>73</v>
      </c>
      <c r="C141" s="4">
        <v>3</v>
      </c>
      <c r="D141" s="4">
        <v>7.95</v>
      </c>
      <c r="E141" s="4">
        <v>0.75</v>
      </c>
      <c r="F141" s="4">
        <v>0.4</v>
      </c>
      <c r="G141" s="4">
        <f t="shared" si="13"/>
        <v>7.155</v>
      </c>
      <c r="H141" s="4">
        <v>7.95</v>
      </c>
    </row>
    <row r="142" spans="1:8">
      <c r="A142" s="4"/>
      <c r="B142" s="4" t="s">
        <v>74</v>
      </c>
      <c r="C142" s="4">
        <v>1</v>
      </c>
      <c r="D142" s="4">
        <v>6.75</v>
      </c>
      <c r="E142" s="4">
        <v>0.75</v>
      </c>
      <c r="F142" s="4">
        <v>0.4</v>
      </c>
      <c r="G142" s="4">
        <f t="shared" si="13"/>
        <v>2.025</v>
      </c>
      <c r="H142" s="4">
        <v>6.75</v>
      </c>
    </row>
    <row r="143" spans="1:8">
      <c r="A143" s="4"/>
      <c r="B143" s="4" t="s">
        <v>29</v>
      </c>
      <c r="C143" s="4"/>
      <c r="D143" s="4"/>
      <c r="E143" s="4"/>
      <c r="F143" s="4"/>
      <c r="G143" s="4"/>
      <c r="H143" s="4"/>
    </row>
    <row r="144" spans="1:8">
      <c r="A144" s="4"/>
      <c r="B144" s="4" t="s">
        <v>71</v>
      </c>
      <c r="C144" s="4">
        <v>2</v>
      </c>
      <c r="D144" s="4">
        <v>13.6</v>
      </c>
      <c r="E144" s="4">
        <v>0.6</v>
      </c>
      <c r="F144" s="4">
        <v>0.4</v>
      </c>
      <c r="G144" s="4">
        <f>C144*D144*E144*F144</f>
        <v>6.528</v>
      </c>
      <c r="H144" s="4">
        <v>13.6</v>
      </c>
    </row>
    <row r="145" spans="1:8">
      <c r="A145" s="4"/>
      <c r="B145" s="4" t="s">
        <v>72</v>
      </c>
      <c r="C145" s="4">
        <v>2</v>
      </c>
      <c r="D145" s="4">
        <v>2.9</v>
      </c>
      <c r="E145" s="4">
        <v>0.6</v>
      </c>
      <c r="F145" s="4">
        <v>0.4</v>
      </c>
      <c r="G145" s="4">
        <f t="shared" ref="G145:G147" si="14">C145*D145*E145*F145</f>
        <v>1.392</v>
      </c>
      <c r="H145" s="4">
        <v>2.9</v>
      </c>
    </row>
    <row r="146" spans="1:8">
      <c r="A146" s="4"/>
      <c r="B146" s="4" t="s">
        <v>73</v>
      </c>
      <c r="C146" s="4">
        <v>3</v>
      </c>
      <c r="D146" s="4">
        <v>8.1</v>
      </c>
      <c r="E146" s="4">
        <v>0.6</v>
      </c>
      <c r="F146" s="4">
        <v>0.4</v>
      </c>
      <c r="G146" s="4">
        <f t="shared" si="14"/>
        <v>5.832</v>
      </c>
      <c r="H146" s="4">
        <v>8.1</v>
      </c>
    </row>
    <row r="147" spans="1:8">
      <c r="A147" s="4"/>
      <c r="B147" s="4" t="s">
        <v>74</v>
      </c>
      <c r="C147" s="4">
        <v>1</v>
      </c>
      <c r="D147" s="4">
        <v>6.9</v>
      </c>
      <c r="E147" s="4">
        <v>0.6</v>
      </c>
      <c r="F147" s="4">
        <v>0.4</v>
      </c>
      <c r="G147" s="4">
        <f t="shared" si="14"/>
        <v>1.656</v>
      </c>
      <c r="H147" s="4">
        <v>6.9</v>
      </c>
    </row>
    <row r="148" spans="1:8">
      <c r="A148" s="4"/>
      <c r="B148" s="4" t="s">
        <v>76</v>
      </c>
      <c r="C148" s="4"/>
      <c r="D148" s="4"/>
      <c r="E148" s="4"/>
      <c r="F148" s="4"/>
      <c r="G148" s="4"/>
      <c r="H148" s="4"/>
    </row>
    <row r="149" spans="1:8">
      <c r="A149" s="4"/>
      <c r="B149" s="4" t="s">
        <v>71</v>
      </c>
      <c r="C149" s="4">
        <v>2</v>
      </c>
      <c r="D149" s="4">
        <v>13.45</v>
      </c>
      <c r="E149" s="4">
        <v>0.45</v>
      </c>
      <c r="F149" s="4">
        <v>0.5</v>
      </c>
      <c r="G149" s="4">
        <f>C149*D149*E149*F149</f>
        <v>6.0525</v>
      </c>
      <c r="H149" s="4">
        <v>13.45</v>
      </c>
    </row>
    <row r="150" spans="1:8">
      <c r="A150" s="4"/>
      <c r="B150" s="4" t="s">
        <v>72</v>
      </c>
      <c r="C150" s="4">
        <v>2</v>
      </c>
      <c r="D150" s="4">
        <v>2.75</v>
      </c>
      <c r="E150" s="4">
        <v>0.45</v>
      </c>
      <c r="F150" s="4">
        <v>0.5</v>
      </c>
      <c r="G150" s="4">
        <f t="shared" ref="G150:G152" si="15">C150*D150*E150*F150</f>
        <v>1.2375</v>
      </c>
      <c r="H150" s="4">
        <v>2.75</v>
      </c>
    </row>
    <row r="151" spans="1:8">
      <c r="A151" s="4"/>
      <c r="B151" s="4" t="s">
        <v>73</v>
      </c>
      <c r="C151" s="4">
        <v>3</v>
      </c>
      <c r="D151" s="4">
        <v>8.25</v>
      </c>
      <c r="E151" s="4">
        <v>0.45</v>
      </c>
      <c r="F151" s="4">
        <v>0.5</v>
      </c>
      <c r="G151" s="4">
        <f t="shared" si="15"/>
        <v>5.56875</v>
      </c>
      <c r="H151" s="4">
        <v>8.25</v>
      </c>
    </row>
    <row r="152" spans="1:8">
      <c r="A152" s="4"/>
      <c r="B152" s="4" t="s">
        <v>74</v>
      </c>
      <c r="C152" s="4">
        <v>1</v>
      </c>
      <c r="D152" s="4">
        <v>7.05</v>
      </c>
      <c r="E152" s="4">
        <v>0.45</v>
      </c>
      <c r="F152" s="4">
        <v>0.5</v>
      </c>
      <c r="G152" s="4">
        <f t="shared" si="15"/>
        <v>1.58625</v>
      </c>
      <c r="H152" s="4">
        <v>7.05</v>
      </c>
    </row>
    <row r="153" spans="1:8">
      <c r="A153" s="4"/>
      <c r="B153" s="4" t="s">
        <v>77</v>
      </c>
      <c r="C153" s="4"/>
      <c r="D153" s="4"/>
      <c r="E153" s="4"/>
      <c r="F153" s="4"/>
      <c r="G153" s="4"/>
      <c r="H153" s="4"/>
    </row>
    <row r="154" spans="1:8">
      <c r="A154" s="4"/>
      <c r="B154" s="4" t="s">
        <v>71</v>
      </c>
      <c r="C154" s="4">
        <v>1</v>
      </c>
      <c r="D154" s="4">
        <v>6.35</v>
      </c>
      <c r="E154" s="4">
        <v>0.55</v>
      </c>
      <c r="F154" s="4">
        <v>0.4</v>
      </c>
      <c r="G154" s="4">
        <f>C154*D154*E154*F154</f>
        <v>1.397</v>
      </c>
      <c r="H154" s="4">
        <v>6.35</v>
      </c>
    </row>
    <row r="155" spans="1:8">
      <c r="A155" s="4"/>
      <c r="B155" s="4" t="s">
        <v>72</v>
      </c>
      <c r="C155" s="4">
        <v>1</v>
      </c>
      <c r="D155" s="4">
        <v>6.95</v>
      </c>
      <c r="E155" s="4">
        <v>0.55</v>
      </c>
      <c r="F155" s="4">
        <v>0.4</v>
      </c>
      <c r="G155" s="4">
        <f t="shared" ref="G155:G156" si="16">C155*D155*E155*F155</f>
        <v>1.529</v>
      </c>
      <c r="H155" s="4">
        <v>6.95</v>
      </c>
    </row>
    <row r="156" spans="1:8">
      <c r="A156" s="4"/>
      <c r="B156" s="4" t="s">
        <v>73</v>
      </c>
      <c r="C156" s="4">
        <v>1</v>
      </c>
      <c r="D156" s="4">
        <v>3.25</v>
      </c>
      <c r="E156" s="4">
        <v>0.55</v>
      </c>
      <c r="F156" s="4">
        <v>0.4</v>
      </c>
      <c r="G156" s="4">
        <f t="shared" si="16"/>
        <v>0.715</v>
      </c>
      <c r="H156" s="4">
        <v>3.25</v>
      </c>
    </row>
    <row r="157" spans="1:8">
      <c r="A157" s="4"/>
      <c r="B157" s="4" t="s">
        <v>29</v>
      </c>
      <c r="C157" s="4"/>
      <c r="D157" s="4"/>
      <c r="E157" s="4"/>
      <c r="F157" s="4"/>
      <c r="G157" s="4"/>
      <c r="H157" s="4"/>
    </row>
    <row r="158" spans="1:8">
      <c r="A158" s="4"/>
      <c r="B158" s="4" t="s">
        <v>71</v>
      </c>
      <c r="C158" s="4">
        <v>1</v>
      </c>
      <c r="D158" s="4">
        <v>6.15</v>
      </c>
      <c r="E158" s="4">
        <v>0.35</v>
      </c>
      <c r="F158" s="4">
        <v>0.5</v>
      </c>
      <c r="G158" s="4">
        <f>C158*D158*E158*F158</f>
        <v>1.07625</v>
      </c>
      <c r="H158" s="4">
        <v>6.15</v>
      </c>
    </row>
    <row r="159" spans="1:8">
      <c r="A159" s="4"/>
      <c r="B159" s="4" t="s">
        <v>72</v>
      </c>
      <c r="C159" s="4">
        <v>1</v>
      </c>
      <c r="D159" s="4">
        <v>6.75</v>
      </c>
      <c r="E159" s="4">
        <v>0.35</v>
      </c>
      <c r="F159" s="4">
        <v>0.5</v>
      </c>
      <c r="G159" s="4">
        <f t="shared" ref="G159:G160" si="17">C159*D159*E159*F159</f>
        <v>1.18125</v>
      </c>
      <c r="H159" s="4">
        <v>6.75</v>
      </c>
    </row>
    <row r="160" spans="1:8">
      <c r="A160" s="4"/>
      <c r="B160" s="4" t="s">
        <v>73</v>
      </c>
      <c r="C160" s="4">
        <v>1</v>
      </c>
      <c r="D160" s="4">
        <v>3.45</v>
      </c>
      <c r="E160" s="4">
        <v>0.35</v>
      </c>
      <c r="F160" s="4">
        <v>0.5</v>
      </c>
      <c r="G160" s="4">
        <f t="shared" si="17"/>
        <v>0.60375</v>
      </c>
      <c r="H160" s="4">
        <v>3.45</v>
      </c>
    </row>
    <row r="161" spans="1:8">
      <c r="A161" s="4"/>
      <c r="B161" s="4"/>
      <c r="C161" s="4"/>
      <c r="D161" s="4"/>
      <c r="E161" s="4" t="s">
        <v>51</v>
      </c>
      <c r="F161" s="4"/>
      <c r="G161" s="4">
        <f>SUM(G139:G160)</f>
        <v>55.61525</v>
      </c>
      <c r="H161" s="4"/>
    </row>
    <row r="162" spans="1:8">
      <c r="A162" s="4"/>
      <c r="B162" s="4"/>
      <c r="C162" s="4"/>
      <c r="D162" s="4"/>
      <c r="E162" s="4"/>
      <c r="F162" s="4"/>
      <c r="G162" s="4"/>
      <c r="H162" s="4"/>
    </row>
    <row r="163" spans="1:8">
      <c r="A163" s="4">
        <v>4</v>
      </c>
      <c r="B163" s="6" t="s">
        <v>30</v>
      </c>
      <c r="C163" s="4"/>
      <c r="D163" s="4"/>
      <c r="E163" s="4"/>
      <c r="F163" s="4"/>
      <c r="G163" s="4"/>
      <c r="H163" s="4"/>
    </row>
    <row r="164" spans="1:8">
      <c r="A164" s="4"/>
      <c r="B164" s="4" t="s">
        <v>17</v>
      </c>
      <c r="C164" s="4"/>
      <c r="D164" s="4"/>
      <c r="E164" s="4"/>
      <c r="F164" s="4"/>
      <c r="G164" s="4"/>
      <c r="H164" s="4"/>
    </row>
    <row r="165" spans="1:8">
      <c r="A165" s="4"/>
      <c r="B165" s="4" t="s">
        <v>71</v>
      </c>
      <c r="C165" s="4">
        <v>2</v>
      </c>
      <c r="D165" s="4">
        <v>13</v>
      </c>
      <c r="E165" s="4">
        <v>0.3</v>
      </c>
      <c r="F165" s="4">
        <v>3.15</v>
      </c>
      <c r="G165" s="4">
        <f>C165*D165*E165*F165</f>
        <v>24.57</v>
      </c>
      <c r="H165" s="4">
        <v>13</v>
      </c>
    </row>
    <row r="166" spans="1:8">
      <c r="A166" s="4"/>
      <c r="B166" s="4" t="s">
        <v>72</v>
      </c>
      <c r="C166" s="4">
        <v>2</v>
      </c>
      <c r="D166" s="4">
        <v>2.3</v>
      </c>
      <c r="E166" s="4">
        <v>0.3</v>
      </c>
      <c r="F166" s="4">
        <v>3.15</v>
      </c>
      <c r="G166" s="4">
        <f t="shared" ref="G166:G168" si="18">C166*D166*E166*F166</f>
        <v>4.347</v>
      </c>
      <c r="H166" s="4">
        <v>2.3</v>
      </c>
    </row>
    <row r="167" spans="1:8">
      <c r="A167" s="4"/>
      <c r="B167" s="4" t="s">
        <v>73</v>
      </c>
      <c r="C167" s="4">
        <v>3</v>
      </c>
      <c r="D167" s="4">
        <v>8.7</v>
      </c>
      <c r="E167" s="4">
        <v>0.3</v>
      </c>
      <c r="F167" s="4">
        <v>3.15</v>
      </c>
      <c r="G167" s="4">
        <f t="shared" si="18"/>
        <v>24.6645</v>
      </c>
      <c r="H167" s="4">
        <v>8.7</v>
      </c>
    </row>
    <row r="168" spans="1:8">
      <c r="A168" s="4"/>
      <c r="B168" s="4" t="s">
        <v>74</v>
      </c>
      <c r="C168" s="4">
        <v>1</v>
      </c>
      <c r="D168" s="4">
        <v>7.5</v>
      </c>
      <c r="E168" s="4">
        <v>0.3</v>
      </c>
      <c r="F168" s="4">
        <v>3.15</v>
      </c>
      <c r="G168" s="4">
        <f t="shared" si="18"/>
        <v>7.0875</v>
      </c>
      <c r="H168" s="4">
        <v>7.5</v>
      </c>
    </row>
    <row r="169" spans="1:8">
      <c r="A169" s="4"/>
      <c r="B169" s="4" t="s">
        <v>18</v>
      </c>
      <c r="C169" s="4"/>
      <c r="D169" s="4"/>
      <c r="E169" s="4"/>
      <c r="F169" s="4"/>
      <c r="G169" s="4"/>
      <c r="H169" s="4"/>
    </row>
    <row r="170" spans="1:8">
      <c r="A170" s="4"/>
      <c r="B170" s="4" t="s">
        <v>71</v>
      </c>
      <c r="C170" s="4">
        <v>1</v>
      </c>
      <c r="D170" s="4">
        <v>5.8</v>
      </c>
      <c r="E170" s="4">
        <v>0.2</v>
      </c>
      <c r="F170" s="4">
        <v>3.15</v>
      </c>
      <c r="G170" s="4">
        <f>C170*D170*E170*F170</f>
        <v>3.654</v>
      </c>
      <c r="H170" s="4">
        <v>5.8</v>
      </c>
    </row>
    <row r="171" spans="1:8">
      <c r="A171" s="4"/>
      <c r="B171" s="4" t="s">
        <v>72</v>
      </c>
      <c r="C171" s="4">
        <v>1</v>
      </c>
      <c r="D171" s="4">
        <v>6.4</v>
      </c>
      <c r="E171" s="4">
        <v>0.2</v>
      </c>
      <c r="F171" s="4">
        <v>3.15</v>
      </c>
      <c r="G171" s="4">
        <f t="shared" ref="G171:G172" si="19">C171*D171*E171*F171</f>
        <v>4.032</v>
      </c>
      <c r="H171" s="4">
        <v>6.4</v>
      </c>
    </row>
    <row r="172" spans="1:8">
      <c r="A172" s="4"/>
      <c r="B172" s="4" t="s">
        <v>73</v>
      </c>
      <c r="C172" s="4">
        <v>1</v>
      </c>
      <c r="D172" s="4">
        <v>3.8</v>
      </c>
      <c r="E172" s="4">
        <v>0.2</v>
      </c>
      <c r="F172" s="4">
        <v>3.15</v>
      </c>
      <c r="G172" s="4">
        <f t="shared" si="19"/>
        <v>2.394</v>
      </c>
      <c r="H172" s="4">
        <v>3.8</v>
      </c>
    </row>
    <row r="173" spans="1:8">
      <c r="A173" s="4"/>
      <c r="B173" s="4"/>
      <c r="C173" s="4"/>
      <c r="D173" s="4"/>
      <c r="E173" s="4" t="s">
        <v>51</v>
      </c>
      <c r="F173" s="4"/>
      <c r="G173" s="4">
        <f>SUM(G165:G172)</f>
        <v>70.749</v>
      </c>
      <c r="H173" s="4"/>
    </row>
    <row r="174" spans="1:8">
      <c r="A174" s="4"/>
      <c r="B174" s="5" t="s">
        <v>42</v>
      </c>
      <c r="C174" s="4"/>
      <c r="D174" s="4"/>
      <c r="E174" s="4"/>
      <c r="F174" s="4"/>
      <c r="G174" s="4"/>
      <c r="H174" s="4"/>
    </row>
    <row r="175" spans="1:8">
      <c r="A175" s="4"/>
      <c r="B175" s="7" t="s">
        <v>44</v>
      </c>
      <c r="C175" s="4">
        <v>1</v>
      </c>
      <c r="D175" s="4">
        <v>1</v>
      </c>
      <c r="E175" s="4">
        <v>0.3</v>
      </c>
      <c r="F175" s="4">
        <v>2.1</v>
      </c>
      <c r="G175" s="4">
        <f>C175*D175*E175*F175</f>
        <v>0.63</v>
      </c>
      <c r="H175" s="4"/>
    </row>
    <row r="176" spans="1:8">
      <c r="A176" s="4"/>
      <c r="B176" s="7" t="s">
        <v>45</v>
      </c>
      <c r="C176" s="4">
        <v>4</v>
      </c>
      <c r="D176" s="4">
        <v>0.9</v>
      </c>
      <c r="E176" s="4">
        <v>0.3</v>
      </c>
      <c r="F176" s="4">
        <v>2.1</v>
      </c>
      <c r="G176" s="4">
        <f t="shared" ref="G176:G180" si="20">C176*D176*E176*F176</f>
        <v>2.268</v>
      </c>
      <c r="H176" s="4"/>
    </row>
    <row r="177" spans="1:8">
      <c r="A177" s="4"/>
      <c r="B177" s="7" t="s">
        <v>47</v>
      </c>
      <c r="C177" s="4">
        <v>3</v>
      </c>
      <c r="D177" s="4">
        <v>1</v>
      </c>
      <c r="E177" s="4">
        <v>0.3</v>
      </c>
      <c r="F177" s="4">
        <v>1.5</v>
      </c>
      <c r="G177" s="4">
        <f t="shared" si="20"/>
        <v>1.35</v>
      </c>
      <c r="H177" s="4"/>
    </row>
    <row r="178" spans="1:8">
      <c r="A178" s="4"/>
      <c r="B178" s="7" t="s">
        <v>48</v>
      </c>
      <c r="C178" s="4">
        <v>3</v>
      </c>
      <c r="D178" s="4">
        <v>1</v>
      </c>
      <c r="E178" s="4">
        <v>0.3</v>
      </c>
      <c r="F178" s="4">
        <v>1.2</v>
      </c>
      <c r="G178" s="4">
        <f t="shared" si="20"/>
        <v>1.08</v>
      </c>
      <c r="H178" s="4"/>
    </row>
    <row r="179" spans="1:8">
      <c r="A179" s="4"/>
      <c r="B179" s="7" t="s">
        <v>49</v>
      </c>
      <c r="C179" s="4">
        <v>2</v>
      </c>
      <c r="D179" s="4">
        <v>0.9</v>
      </c>
      <c r="E179" s="4">
        <v>0.3</v>
      </c>
      <c r="F179" s="4">
        <v>0.6</v>
      </c>
      <c r="G179" s="4">
        <f t="shared" si="20"/>
        <v>0.324</v>
      </c>
      <c r="H179" s="4"/>
    </row>
    <row r="180" spans="1:8">
      <c r="A180" s="4"/>
      <c r="B180" s="7" t="s">
        <v>50</v>
      </c>
      <c r="C180" s="4">
        <v>2</v>
      </c>
      <c r="D180" s="4">
        <v>0.8</v>
      </c>
      <c r="E180" s="4">
        <v>0.2</v>
      </c>
      <c r="F180" s="4">
        <v>2.1</v>
      </c>
      <c r="G180" s="4">
        <f t="shared" si="20"/>
        <v>0.672</v>
      </c>
      <c r="H180" s="4"/>
    </row>
    <row r="181" spans="1:8">
      <c r="A181" s="4"/>
      <c r="B181" s="5"/>
      <c r="C181" s="4"/>
      <c r="D181" s="4"/>
      <c r="E181" s="4" t="s">
        <v>51</v>
      </c>
      <c r="F181" s="4"/>
      <c r="G181" s="4">
        <f>SUM(G175:G180)</f>
        <v>6.324</v>
      </c>
      <c r="H181" s="4"/>
    </row>
    <row r="182" spans="1:8">
      <c r="A182" s="4"/>
      <c r="B182" s="5" t="s">
        <v>52</v>
      </c>
      <c r="C182" s="4"/>
      <c r="D182" s="4"/>
      <c r="E182" s="4"/>
      <c r="F182" s="4"/>
      <c r="G182" s="4"/>
      <c r="H182" s="4"/>
    </row>
    <row r="183" spans="1:8">
      <c r="A183" s="4"/>
      <c r="B183" s="7" t="s">
        <v>44</v>
      </c>
      <c r="C183" s="4">
        <v>1</v>
      </c>
      <c r="D183" s="4">
        <v>1.3</v>
      </c>
      <c r="E183" s="4">
        <v>0.3</v>
      </c>
      <c r="F183" s="4">
        <v>0.15</v>
      </c>
      <c r="G183" s="4">
        <f>C183*D183*E183*F183</f>
        <v>0.0585</v>
      </c>
      <c r="H183" s="4"/>
    </row>
    <row r="184" spans="1:8">
      <c r="A184" s="4"/>
      <c r="B184" s="7" t="s">
        <v>45</v>
      </c>
      <c r="C184" s="4">
        <v>4</v>
      </c>
      <c r="D184" s="4">
        <v>1.2</v>
      </c>
      <c r="E184" s="4">
        <v>0.3</v>
      </c>
      <c r="F184" s="4">
        <v>0.15</v>
      </c>
      <c r="G184" s="4">
        <f t="shared" ref="G184:G188" si="21">C184*D184*E184*F184</f>
        <v>0.216</v>
      </c>
      <c r="H184" s="4"/>
    </row>
    <row r="185" spans="1:8">
      <c r="A185" s="4"/>
      <c r="B185" s="7" t="s">
        <v>47</v>
      </c>
      <c r="C185" s="4">
        <v>3</v>
      </c>
      <c r="D185" s="4">
        <v>1.3</v>
      </c>
      <c r="E185" s="4">
        <v>0.3</v>
      </c>
      <c r="F185" s="4">
        <v>0.15</v>
      </c>
      <c r="G185" s="4">
        <f t="shared" si="21"/>
        <v>0.1755</v>
      </c>
      <c r="H185" s="4"/>
    </row>
    <row r="186" spans="1:8">
      <c r="A186" s="4"/>
      <c r="B186" s="7" t="s">
        <v>48</v>
      </c>
      <c r="C186" s="4">
        <v>3</v>
      </c>
      <c r="D186" s="4">
        <v>1.3</v>
      </c>
      <c r="E186" s="4">
        <v>0.3</v>
      </c>
      <c r="F186" s="4">
        <v>0.15</v>
      </c>
      <c r="G186" s="4">
        <f t="shared" si="21"/>
        <v>0.1755</v>
      </c>
      <c r="H186" s="4"/>
    </row>
    <row r="187" spans="1:8">
      <c r="A187" s="4"/>
      <c r="B187" s="7" t="s">
        <v>49</v>
      </c>
      <c r="C187" s="4">
        <v>2</v>
      </c>
      <c r="D187" s="4">
        <v>1.2</v>
      </c>
      <c r="E187" s="4">
        <v>0.3</v>
      </c>
      <c r="F187" s="4">
        <v>0.15</v>
      </c>
      <c r="G187" s="4">
        <f t="shared" si="21"/>
        <v>0.108</v>
      </c>
      <c r="H187" s="4"/>
    </row>
    <row r="188" spans="1:8">
      <c r="A188" s="4"/>
      <c r="B188" s="7" t="s">
        <v>50</v>
      </c>
      <c r="C188" s="4">
        <v>2</v>
      </c>
      <c r="D188" s="4">
        <v>1</v>
      </c>
      <c r="E188" s="4">
        <v>0.2</v>
      </c>
      <c r="F188" s="4">
        <v>0.15</v>
      </c>
      <c r="G188" s="4">
        <f t="shared" si="21"/>
        <v>0.06</v>
      </c>
      <c r="H188" s="4"/>
    </row>
    <row r="189" spans="1:8">
      <c r="A189" s="4"/>
      <c r="B189" s="7"/>
      <c r="C189" s="4"/>
      <c r="D189" s="4"/>
      <c r="E189" s="4" t="s">
        <v>51</v>
      </c>
      <c r="F189" s="4"/>
      <c r="G189" s="4">
        <f>SUM(G183:G188)</f>
        <v>0.7935</v>
      </c>
      <c r="H189" s="4"/>
    </row>
    <row r="190" spans="1:8">
      <c r="A190" s="4"/>
      <c r="B190" s="8" t="s">
        <v>54</v>
      </c>
      <c r="C190" s="8"/>
      <c r="D190" s="8"/>
      <c r="E190" s="8"/>
      <c r="F190" s="8"/>
      <c r="G190" s="4">
        <f>66.03</f>
        <v>66.03</v>
      </c>
      <c r="H190" s="4"/>
    </row>
    <row r="191" spans="1:8">
      <c r="A191" s="4"/>
      <c r="B191" s="8"/>
      <c r="C191" s="8"/>
      <c r="D191" s="8"/>
      <c r="E191" s="8"/>
      <c r="F191" s="8"/>
      <c r="G191" s="4"/>
      <c r="H191" s="4"/>
    </row>
    <row r="192" spans="1:8">
      <c r="A192" s="4">
        <v>5</v>
      </c>
      <c r="B192" s="6" t="s">
        <v>32</v>
      </c>
      <c r="C192" s="4"/>
      <c r="D192" s="4"/>
      <c r="E192" s="4"/>
      <c r="F192" s="8"/>
      <c r="G192" s="4"/>
      <c r="H192" s="4"/>
    </row>
    <row r="193" spans="1:8">
      <c r="A193" s="4"/>
      <c r="B193" s="4" t="s">
        <v>17</v>
      </c>
      <c r="C193" s="4">
        <v>1</v>
      </c>
      <c r="D193" s="4">
        <v>67.275</v>
      </c>
      <c r="E193" s="4">
        <v>0.45</v>
      </c>
      <c r="F193" s="8" t="s">
        <v>55</v>
      </c>
      <c r="G193" s="4">
        <f>C193*D193*E193</f>
        <v>30.27375</v>
      </c>
      <c r="H193" s="4">
        <v>67.275</v>
      </c>
    </row>
    <row r="194" spans="1:8">
      <c r="A194" s="4"/>
      <c r="B194" s="4" t="s">
        <v>18</v>
      </c>
      <c r="C194" s="4">
        <v>1</v>
      </c>
      <c r="D194" s="4">
        <v>14.075</v>
      </c>
      <c r="E194" s="4">
        <v>0.35</v>
      </c>
      <c r="F194" s="8" t="s">
        <v>55</v>
      </c>
      <c r="G194" s="4">
        <f>C194*D194*E194</f>
        <v>4.92625</v>
      </c>
      <c r="H194" s="4">
        <v>14.075</v>
      </c>
    </row>
    <row r="195" spans="1:8">
      <c r="A195" s="4"/>
      <c r="B195" s="6"/>
      <c r="C195" s="4"/>
      <c r="D195" s="4"/>
      <c r="E195" s="4" t="s">
        <v>51</v>
      </c>
      <c r="F195" s="4"/>
      <c r="G195" s="4">
        <f>SUM(G193:G194)</f>
        <v>35.2</v>
      </c>
      <c r="H195" s="4"/>
    </row>
    <row r="196" spans="1:8">
      <c r="A196" s="4"/>
      <c r="B196" s="6"/>
      <c r="C196" s="4"/>
      <c r="D196" s="4"/>
      <c r="E196" s="4"/>
      <c r="F196" s="4"/>
      <c r="G196" s="4"/>
      <c r="H196" s="4"/>
    </row>
    <row r="197" spans="1:8">
      <c r="A197" s="4">
        <v>6</v>
      </c>
      <c r="B197" s="6" t="s">
        <v>34</v>
      </c>
      <c r="C197" s="4"/>
      <c r="D197" s="4"/>
      <c r="E197" s="4"/>
      <c r="F197" s="4"/>
      <c r="G197" s="4"/>
      <c r="H197" s="4"/>
    </row>
    <row r="198" spans="1:8">
      <c r="A198" s="4"/>
      <c r="B198" s="6" t="s">
        <v>56</v>
      </c>
      <c r="C198" s="4">
        <v>1</v>
      </c>
      <c r="D198" s="4">
        <v>7.7</v>
      </c>
      <c r="E198" s="4">
        <v>4</v>
      </c>
      <c r="F198" s="4">
        <v>0.15</v>
      </c>
      <c r="G198" s="4">
        <f>C198*D198*E198*F198</f>
        <v>4.62</v>
      </c>
      <c r="H198" s="4">
        <v>7.7</v>
      </c>
    </row>
    <row r="199" spans="1:8">
      <c r="A199" s="4"/>
      <c r="B199" s="6" t="s">
        <v>57</v>
      </c>
      <c r="C199" s="4">
        <v>1</v>
      </c>
      <c r="D199" s="4">
        <v>7.7</v>
      </c>
      <c r="E199" s="4">
        <v>5.8</v>
      </c>
      <c r="F199" s="4">
        <v>0.15</v>
      </c>
      <c r="G199" s="4">
        <f t="shared" ref="G199:G203" si="22">C199*D199*E199*F199</f>
        <v>6.699</v>
      </c>
      <c r="H199" s="4">
        <v>7.7</v>
      </c>
    </row>
    <row r="200" spans="1:8">
      <c r="A200" s="4"/>
      <c r="B200" s="6" t="s">
        <v>58</v>
      </c>
      <c r="C200" s="4">
        <v>1</v>
      </c>
      <c r="D200" s="4">
        <v>5.6</v>
      </c>
      <c r="E200" s="4">
        <v>5.5</v>
      </c>
      <c r="F200" s="4">
        <v>0.15</v>
      </c>
      <c r="G200" s="4">
        <f t="shared" si="22"/>
        <v>4.62</v>
      </c>
      <c r="H200" s="4">
        <v>5.6</v>
      </c>
    </row>
    <row r="201" spans="1:8">
      <c r="A201" s="4"/>
      <c r="B201" s="6" t="s">
        <v>59</v>
      </c>
      <c r="C201" s="4">
        <v>1</v>
      </c>
      <c r="D201" s="4">
        <v>5.6</v>
      </c>
      <c r="E201" s="4">
        <v>4.3</v>
      </c>
      <c r="F201" s="4">
        <v>0.15</v>
      </c>
      <c r="G201" s="4">
        <f t="shared" si="22"/>
        <v>3.612</v>
      </c>
      <c r="H201" s="4">
        <v>5.6</v>
      </c>
    </row>
    <row r="202" spans="1:8">
      <c r="A202" s="4"/>
      <c r="B202" s="6" t="s">
        <v>60</v>
      </c>
      <c r="C202" s="4">
        <v>1</v>
      </c>
      <c r="D202" s="4">
        <v>2.3</v>
      </c>
      <c r="E202" s="4">
        <v>3.5</v>
      </c>
      <c r="F202" s="4">
        <v>0.15</v>
      </c>
      <c r="G202" s="4">
        <f t="shared" si="22"/>
        <v>1.2075</v>
      </c>
      <c r="H202" s="4">
        <v>2.3</v>
      </c>
    </row>
    <row r="203" spans="1:8">
      <c r="A203" s="4"/>
      <c r="B203" s="6" t="s">
        <v>61</v>
      </c>
      <c r="C203" s="4">
        <v>1</v>
      </c>
      <c r="D203" s="4">
        <v>2.3</v>
      </c>
      <c r="E203" s="4">
        <v>4.3</v>
      </c>
      <c r="F203" s="4">
        <v>0.15</v>
      </c>
      <c r="G203" s="4">
        <f t="shared" si="22"/>
        <v>1.4835</v>
      </c>
      <c r="H203" s="4">
        <v>2.3</v>
      </c>
    </row>
    <row r="204" spans="1:8">
      <c r="A204" s="4"/>
      <c r="B204" s="6"/>
      <c r="C204" s="4"/>
      <c r="D204" s="4"/>
      <c r="E204" s="4" t="s">
        <v>51</v>
      </c>
      <c r="F204" s="4"/>
      <c r="G204" s="4">
        <f>SUM(G198:G203)</f>
        <v>22.242</v>
      </c>
      <c r="H204" s="4"/>
    </row>
    <row r="205" spans="1:8">
      <c r="A205" s="4"/>
      <c r="B205" s="6"/>
      <c r="C205" s="4"/>
      <c r="D205" s="4"/>
      <c r="E205" s="4"/>
      <c r="F205" s="4"/>
      <c r="G205" s="4"/>
      <c r="H205" s="4"/>
    </row>
    <row r="206" spans="1:8">
      <c r="A206" s="4">
        <v>7</v>
      </c>
      <c r="B206" s="6" t="s">
        <v>35</v>
      </c>
      <c r="C206" s="4"/>
      <c r="D206" s="4"/>
      <c r="E206" s="4"/>
      <c r="F206" s="4"/>
      <c r="G206" s="4"/>
      <c r="H206" s="4"/>
    </row>
    <row r="207" spans="1:8">
      <c r="A207" s="4"/>
      <c r="B207" s="6" t="s">
        <v>60</v>
      </c>
      <c r="C207" s="4">
        <v>1</v>
      </c>
      <c r="D207" s="4">
        <v>10</v>
      </c>
      <c r="E207" s="8" t="s">
        <v>55</v>
      </c>
      <c r="F207" s="4">
        <v>3.15</v>
      </c>
      <c r="G207" s="4">
        <f>C207*D207*F207</f>
        <v>31.5</v>
      </c>
      <c r="H207" s="4"/>
    </row>
    <row r="208" spans="1:8">
      <c r="A208" s="4"/>
      <c r="B208" s="6" t="s">
        <v>61</v>
      </c>
      <c r="C208" s="4">
        <v>1</v>
      </c>
      <c r="D208" s="4">
        <v>12</v>
      </c>
      <c r="E208" s="8" t="s">
        <v>55</v>
      </c>
      <c r="F208" s="4">
        <v>3.15</v>
      </c>
      <c r="G208" s="4">
        <f t="shared" ref="G208:G213" si="23">C208*D208*F208</f>
        <v>37.8</v>
      </c>
      <c r="H208" s="4"/>
    </row>
    <row r="209" spans="1:8">
      <c r="A209" s="4"/>
      <c r="B209" s="6" t="s">
        <v>62</v>
      </c>
      <c r="C209" s="4">
        <v>1</v>
      </c>
      <c r="D209" s="4">
        <v>20.6</v>
      </c>
      <c r="E209" s="8" t="s">
        <v>55</v>
      </c>
      <c r="F209" s="4">
        <v>3.15</v>
      </c>
      <c r="G209" s="4">
        <f t="shared" si="23"/>
        <v>64.89</v>
      </c>
      <c r="H209" s="4"/>
    </row>
    <row r="210" spans="1:8">
      <c r="A210" s="4"/>
      <c r="B210" s="6" t="s">
        <v>59</v>
      </c>
      <c r="C210" s="4">
        <v>1</v>
      </c>
      <c r="D210" s="4">
        <v>18.6</v>
      </c>
      <c r="E210" s="8" t="s">
        <v>55</v>
      </c>
      <c r="F210" s="4">
        <v>3.15</v>
      </c>
      <c r="G210" s="4">
        <f t="shared" si="23"/>
        <v>58.59</v>
      </c>
      <c r="H210" s="4"/>
    </row>
    <row r="211" spans="1:8">
      <c r="A211" s="4"/>
      <c r="B211" s="6" t="s">
        <v>63</v>
      </c>
      <c r="C211" s="4">
        <v>1</v>
      </c>
      <c r="D211" s="4">
        <v>12.8</v>
      </c>
      <c r="E211" s="8" t="s">
        <v>55</v>
      </c>
      <c r="F211" s="4">
        <v>3.15</v>
      </c>
      <c r="G211" s="4">
        <f t="shared" si="23"/>
        <v>40.32</v>
      </c>
      <c r="H211" s="4"/>
    </row>
    <row r="212" spans="1:8">
      <c r="A212" s="4"/>
      <c r="B212" s="6" t="s">
        <v>64</v>
      </c>
      <c r="C212" s="4">
        <v>1</v>
      </c>
      <c r="D212" s="4">
        <v>14.8</v>
      </c>
      <c r="E212" s="8" t="s">
        <v>55</v>
      </c>
      <c r="F212" s="4">
        <v>3.15</v>
      </c>
      <c r="G212" s="4">
        <f t="shared" si="23"/>
        <v>46.62</v>
      </c>
      <c r="H212" s="4"/>
    </row>
    <row r="213" spans="1:8">
      <c r="A213" s="4"/>
      <c r="B213" s="6" t="s">
        <v>57</v>
      </c>
      <c r="C213" s="4">
        <v>1</v>
      </c>
      <c r="D213" s="4">
        <v>25.2</v>
      </c>
      <c r="E213" s="8" t="s">
        <v>55</v>
      </c>
      <c r="F213" s="4">
        <v>3.15</v>
      </c>
      <c r="G213" s="4">
        <f t="shared" si="23"/>
        <v>79.38</v>
      </c>
      <c r="H213" s="4"/>
    </row>
    <row r="214" spans="1:8">
      <c r="A214" s="4"/>
      <c r="B214" s="12"/>
      <c r="C214" s="4"/>
      <c r="D214" s="4"/>
      <c r="E214" s="8" t="s">
        <v>65</v>
      </c>
      <c r="F214" s="8"/>
      <c r="G214" s="4">
        <f>SUM(G207:G213)</f>
        <v>359.1</v>
      </c>
      <c r="H214" s="4"/>
    </row>
    <row r="215" spans="1:8">
      <c r="A215" s="4"/>
      <c r="B215" s="5" t="s">
        <v>42</v>
      </c>
      <c r="C215" s="4"/>
      <c r="D215" s="4"/>
      <c r="E215" s="8"/>
      <c r="F215" s="4"/>
      <c r="G215" s="4"/>
      <c r="H215" s="4"/>
    </row>
    <row r="216" spans="1:8">
      <c r="A216" s="4"/>
      <c r="B216" s="7" t="s">
        <v>44</v>
      </c>
      <c r="C216" s="4">
        <v>1</v>
      </c>
      <c r="D216" s="4">
        <v>1</v>
      </c>
      <c r="E216" s="8" t="s">
        <v>55</v>
      </c>
      <c r="F216" s="4">
        <v>2.1</v>
      </c>
      <c r="G216" s="4">
        <f>C216*D216*F216</f>
        <v>2.1</v>
      </c>
      <c r="H216" s="4"/>
    </row>
    <row r="217" spans="1:8">
      <c r="A217" s="4"/>
      <c r="B217" s="7" t="s">
        <v>45</v>
      </c>
      <c r="C217" s="4">
        <v>4</v>
      </c>
      <c r="D217" s="4">
        <v>0.9</v>
      </c>
      <c r="E217" s="8" t="s">
        <v>55</v>
      </c>
      <c r="F217" s="4">
        <v>2.1</v>
      </c>
      <c r="G217" s="4">
        <f t="shared" ref="G217:G221" si="24">C217*D217*F217</f>
        <v>7.56</v>
      </c>
      <c r="H217" s="4"/>
    </row>
    <row r="218" spans="1:8">
      <c r="A218" s="4"/>
      <c r="B218" s="7" t="s">
        <v>47</v>
      </c>
      <c r="C218" s="4">
        <v>3</v>
      </c>
      <c r="D218" s="4">
        <v>1</v>
      </c>
      <c r="E218" s="8" t="s">
        <v>55</v>
      </c>
      <c r="F218" s="4">
        <v>1.5</v>
      </c>
      <c r="G218" s="4">
        <f t="shared" si="24"/>
        <v>4.5</v>
      </c>
      <c r="H218" s="4"/>
    </row>
    <row r="219" spans="1:8">
      <c r="A219" s="4"/>
      <c r="B219" s="7" t="s">
        <v>48</v>
      </c>
      <c r="C219" s="4">
        <v>3</v>
      </c>
      <c r="D219" s="4">
        <v>1</v>
      </c>
      <c r="E219" s="8" t="s">
        <v>55</v>
      </c>
      <c r="F219" s="4">
        <v>1.2</v>
      </c>
      <c r="G219" s="4">
        <f t="shared" si="24"/>
        <v>3.6</v>
      </c>
      <c r="H219" s="4"/>
    </row>
    <row r="220" spans="1:8">
      <c r="A220" s="4"/>
      <c r="B220" s="7" t="s">
        <v>49</v>
      </c>
      <c r="C220" s="4">
        <v>2</v>
      </c>
      <c r="D220" s="4">
        <v>0.9</v>
      </c>
      <c r="E220" s="8" t="s">
        <v>55</v>
      </c>
      <c r="F220" s="4">
        <v>0.6</v>
      </c>
      <c r="G220" s="4">
        <f t="shared" si="24"/>
        <v>1.08</v>
      </c>
      <c r="H220" s="4"/>
    </row>
    <row r="221" spans="1:8">
      <c r="A221" s="4"/>
      <c r="B221" s="7" t="s">
        <v>50</v>
      </c>
      <c r="C221" s="4">
        <v>2</v>
      </c>
      <c r="D221" s="4">
        <v>0.8</v>
      </c>
      <c r="E221" s="8" t="s">
        <v>55</v>
      </c>
      <c r="F221" s="4">
        <v>2.1</v>
      </c>
      <c r="G221" s="4">
        <f t="shared" si="24"/>
        <v>3.36</v>
      </c>
      <c r="H221" s="4"/>
    </row>
    <row r="222" spans="1:8">
      <c r="A222" s="4"/>
      <c r="B222" s="7"/>
      <c r="C222" s="4"/>
      <c r="D222" s="4"/>
      <c r="E222" s="8" t="s">
        <v>65</v>
      </c>
      <c r="F222" s="8"/>
      <c r="G222" s="4">
        <f>SUM(G216:G221)</f>
        <v>22.2</v>
      </c>
      <c r="H222" s="4"/>
    </row>
    <row r="223" spans="1:8">
      <c r="A223" s="4"/>
      <c r="B223" s="8" t="s">
        <v>66</v>
      </c>
      <c r="C223" s="8"/>
      <c r="D223" s="8"/>
      <c r="E223" s="8"/>
      <c r="F223" s="8"/>
      <c r="G223" s="4">
        <f>G214-G222</f>
        <v>336.9</v>
      </c>
      <c r="H223" s="4"/>
    </row>
    <row r="224" spans="1:8">
      <c r="A224" s="4"/>
      <c r="B224" s="8"/>
      <c r="C224" s="8"/>
      <c r="D224" s="8"/>
      <c r="E224" s="8"/>
      <c r="F224" s="8"/>
      <c r="G224" s="4"/>
      <c r="H224" s="4"/>
    </row>
    <row r="225" spans="1:8">
      <c r="A225" s="4">
        <v>8</v>
      </c>
      <c r="B225" s="6" t="s">
        <v>36</v>
      </c>
      <c r="C225" s="8">
        <v>1</v>
      </c>
      <c r="D225" s="8">
        <v>60.9</v>
      </c>
      <c r="E225" s="8" t="s">
        <v>55</v>
      </c>
      <c r="F225" s="8">
        <v>3.15</v>
      </c>
      <c r="G225" s="4">
        <f t="shared" ref="G225" si="25">C225*D225*F225</f>
        <v>191.835</v>
      </c>
      <c r="H225" s="4"/>
    </row>
    <row r="226" spans="1:8">
      <c r="A226" s="4"/>
      <c r="B226" s="6"/>
      <c r="C226" s="8"/>
      <c r="D226" s="8"/>
      <c r="E226" s="8"/>
      <c r="F226" s="8"/>
      <c r="G226" s="4"/>
      <c r="H226" s="4"/>
    </row>
    <row r="227" spans="1:8">
      <c r="A227" s="4">
        <v>9</v>
      </c>
      <c r="B227" s="6" t="s">
        <v>37</v>
      </c>
      <c r="C227" s="4"/>
      <c r="D227" s="4"/>
      <c r="E227" s="4"/>
      <c r="F227" s="4"/>
      <c r="G227" s="4"/>
      <c r="H227" s="4"/>
    </row>
    <row r="228" spans="1:8">
      <c r="A228" s="4"/>
      <c r="B228" s="6" t="s">
        <v>60</v>
      </c>
      <c r="C228" s="4">
        <v>1</v>
      </c>
      <c r="D228" s="4">
        <v>3</v>
      </c>
      <c r="E228" s="4">
        <v>2</v>
      </c>
      <c r="F228" s="8" t="s">
        <v>55</v>
      </c>
      <c r="G228" s="4">
        <f>C228*D228*E228</f>
        <v>6</v>
      </c>
      <c r="H228" s="4"/>
    </row>
    <row r="229" spans="1:8">
      <c r="A229" s="4"/>
      <c r="B229" s="6" t="s">
        <v>61</v>
      </c>
      <c r="C229" s="4">
        <v>1</v>
      </c>
      <c r="D229" s="4">
        <v>4</v>
      </c>
      <c r="E229" s="4">
        <v>2</v>
      </c>
      <c r="F229" s="8" t="s">
        <v>55</v>
      </c>
      <c r="G229" s="4">
        <f t="shared" ref="G229:G234" si="26">C229*D229*E229</f>
        <v>8</v>
      </c>
      <c r="H229" s="4"/>
    </row>
    <row r="230" spans="1:8">
      <c r="A230" s="4"/>
      <c r="B230" s="6" t="s">
        <v>62</v>
      </c>
      <c r="C230" s="4">
        <v>1</v>
      </c>
      <c r="D230" s="4">
        <v>5</v>
      </c>
      <c r="E230" s="4">
        <v>5.3</v>
      </c>
      <c r="F230" s="8" t="s">
        <v>55</v>
      </c>
      <c r="G230" s="4">
        <f t="shared" si="26"/>
        <v>26.5</v>
      </c>
      <c r="H230" s="4"/>
    </row>
    <row r="231" spans="1:8">
      <c r="A231" s="4"/>
      <c r="B231" s="6" t="s">
        <v>59</v>
      </c>
      <c r="C231" s="4">
        <v>1</v>
      </c>
      <c r="D231" s="4">
        <v>4</v>
      </c>
      <c r="E231" s="4">
        <v>5.3</v>
      </c>
      <c r="F231" s="8" t="s">
        <v>55</v>
      </c>
      <c r="G231" s="4">
        <f t="shared" si="26"/>
        <v>21.2</v>
      </c>
      <c r="H231" s="4"/>
    </row>
    <row r="232" spans="1:8">
      <c r="A232" s="4"/>
      <c r="B232" s="6" t="s">
        <v>63</v>
      </c>
      <c r="C232" s="4">
        <v>1</v>
      </c>
      <c r="D232" s="4">
        <v>3.5</v>
      </c>
      <c r="E232" s="4">
        <v>2.9</v>
      </c>
      <c r="F232" s="8" t="s">
        <v>55</v>
      </c>
      <c r="G232" s="4">
        <f t="shared" si="26"/>
        <v>10.15</v>
      </c>
      <c r="H232" s="4"/>
    </row>
    <row r="233" spans="1:8">
      <c r="A233" s="4"/>
      <c r="B233" s="6" t="s">
        <v>64</v>
      </c>
      <c r="C233" s="4">
        <v>1</v>
      </c>
      <c r="D233" s="4">
        <v>3.5</v>
      </c>
      <c r="E233" s="4">
        <v>3.9</v>
      </c>
      <c r="F233" s="8" t="s">
        <v>55</v>
      </c>
      <c r="G233" s="4">
        <f t="shared" si="26"/>
        <v>13.65</v>
      </c>
      <c r="H233" s="4"/>
    </row>
    <row r="234" spans="1:8">
      <c r="A234" s="4"/>
      <c r="B234" s="6" t="s">
        <v>57</v>
      </c>
      <c r="C234" s="4">
        <v>1</v>
      </c>
      <c r="D234" s="4">
        <v>5.5</v>
      </c>
      <c r="E234" s="4">
        <v>7.1</v>
      </c>
      <c r="F234" s="8" t="s">
        <v>55</v>
      </c>
      <c r="G234" s="4">
        <f t="shared" si="26"/>
        <v>39.05</v>
      </c>
      <c r="H234" s="4"/>
    </row>
    <row r="235" spans="1:8">
      <c r="A235" s="4"/>
      <c r="B235" s="6"/>
      <c r="C235" s="4"/>
      <c r="D235" s="4"/>
      <c r="E235" s="8" t="s">
        <v>65</v>
      </c>
      <c r="F235" s="8"/>
      <c r="G235" s="4">
        <f>SUM(G228:G234)</f>
        <v>124.55</v>
      </c>
      <c r="H235" s="4"/>
    </row>
    <row r="236" spans="1:8">
      <c r="A236" s="4"/>
      <c r="B236" s="6"/>
      <c r="C236" s="4"/>
      <c r="D236" s="4"/>
      <c r="E236" s="8"/>
      <c r="F236" s="8"/>
      <c r="G236" s="4"/>
      <c r="H236" s="4"/>
    </row>
    <row r="237" spans="1:8">
      <c r="A237" s="4">
        <v>10</v>
      </c>
      <c r="B237" s="6" t="s">
        <v>67</v>
      </c>
      <c r="C237" s="4">
        <v>1</v>
      </c>
      <c r="D237" s="4">
        <v>13.3</v>
      </c>
      <c r="E237" s="8">
        <v>9.8</v>
      </c>
      <c r="F237" s="8" t="s">
        <v>55</v>
      </c>
      <c r="G237" s="4">
        <f>C237*D237*E237</f>
        <v>130.34</v>
      </c>
      <c r="H237" s="4">
        <v>13.3</v>
      </c>
    </row>
    <row r="238" spans="1:8">
      <c r="A238" s="4"/>
      <c r="B238" s="6" t="s">
        <v>68</v>
      </c>
      <c r="C238" s="4">
        <v>1</v>
      </c>
      <c r="D238" s="4">
        <v>2.3</v>
      </c>
      <c r="E238" s="8">
        <v>7.8</v>
      </c>
      <c r="F238" s="8" t="s">
        <v>55</v>
      </c>
      <c r="G238" s="4">
        <f>C238*D238*E238</f>
        <v>17.94</v>
      </c>
      <c r="H238" s="4">
        <v>2.3</v>
      </c>
    </row>
    <row r="239" spans="1:8">
      <c r="A239" s="4"/>
      <c r="B239" s="6"/>
      <c r="C239" s="4"/>
      <c r="D239" s="4"/>
      <c r="E239" s="8" t="s">
        <v>65</v>
      </c>
      <c r="F239" s="8"/>
      <c r="G239" s="4">
        <f>SUM(G237:G238)</f>
        <v>148.28</v>
      </c>
      <c r="H239" s="4"/>
    </row>
    <row r="240" spans="1:8">
      <c r="A240" s="4"/>
      <c r="B240" s="6"/>
      <c r="C240" s="4"/>
      <c r="D240" s="4"/>
      <c r="E240" s="8"/>
      <c r="F240" s="8"/>
      <c r="G240" s="4"/>
      <c r="H240" s="4"/>
    </row>
    <row r="241" spans="1:8">
      <c r="A241" s="4">
        <v>11</v>
      </c>
      <c r="B241" s="6" t="s">
        <v>69</v>
      </c>
      <c r="C241" s="4"/>
      <c r="D241" s="4"/>
      <c r="E241" s="8"/>
      <c r="F241" s="8"/>
      <c r="G241" s="4"/>
      <c r="H241" s="4"/>
    </row>
    <row r="242" spans="1:8">
      <c r="A242" s="4"/>
      <c r="B242" s="6" t="s">
        <v>47</v>
      </c>
      <c r="C242" s="4">
        <v>3</v>
      </c>
      <c r="D242" s="4">
        <v>1.3</v>
      </c>
      <c r="E242" s="8">
        <v>0.5</v>
      </c>
      <c r="F242" s="8">
        <v>0.1</v>
      </c>
      <c r="G242" s="4">
        <f t="shared" ref="G242:G243" si="27">C242*D242*E242*F242</f>
        <v>0.195</v>
      </c>
      <c r="H242" s="4">
        <v>1.3</v>
      </c>
    </row>
    <row r="243" spans="1:8">
      <c r="A243" s="4"/>
      <c r="B243" s="4" t="s">
        <v>48</v>
      </c>
      <c r="C243" s="4">
        <v>3</v>
      </c>
      <c r="D243" s="4">
        <v>1.3</v>
      </c>
      <c r="E243" s="8">
        <v>0.5</v>
      </c>
      <c r="F243" s="8">
        <v>0.1</v>
      </c>
      <c r="G243" s="4">
        <f t="shared" si="27"/>
        <v>0.195</v>
      </c>
      <c r="H243" s="4">
        <v>1.3</v>
      </c>
    </row>
    <row r="244" spans="1:8">
      <c r="A244" s="4"/>
      <c r="B244" s="4"/>
      <c r="C244" s="4"/>
      <c r="D244" s="4"/>
      <c r="E244" s="4" t="s">
        <v>51</v>
      </c>
      <c r="F244" s="4"/>
      <c r="G244" s="4">
        <f>SUM(G242:G243)</f>
        <v>0.39</v>
      </c>
      <c r="H244" s="4"/>
    </row>
  </sheetData>
  <mergeCells count="21">
    <mergeCell ref="B1:G1"/>
    <mergeCell ref="B3:D3"/>
    <mergeCell ref="B4:D4"/>
    <mergeCell ref="B5:D5"/>
    <mergeCell ref="B8:E8"/>
    <mergeCell ref="K16:M16"/>
    <mergeCell ref="K21:M21"/>
    <mergeCell ref="K40:L40"/>
    <mergeCell ref="B54:F54"/>
    <mergeCell ref="E77:F77"/>
    <mergeCell ref="E85:F85"/>
    <mergeCell ref="B86:F86"/>
    <mergeCell ref="E98:F98"/>
    <mergeCell ref="E102:F102"/>
    <mergeCell ref="B110:G110"/>
    <mergeCell ref="B190:F190"/>
    <mergeCell ref="E214:F214"/>
    <mergeCell ref="E222:F222"/>
    <mergeCell ref="B223:F223"/>
    <mergeCell ref="E235:F235"/>
    <mergeCell ref="E239:F239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Sameer</cp:lastModifiedBy>
  <dcterms:created xsi:type="dcterms:W3CDTF">2025-11-24T18:41:00Z</dcterms:created>
  <cp:lastPrinted>2025-11-24T20:57:00Z</cp:lastPrinted>
  <dcterms:modified xsi:type="dcterms:W3CDTF">2025-11-26T14:00:44Z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39FA85AF2E23411F862C60AA127EB955_13</vt:lpwstr>
  </property>
  <property fmtid="{D5CDD505-2E9C-101B-9397-08002B2CF9AE}" pid="3" name="KSOProductBuildVer">
    <vt:lpwstr>1033-12.2.0.23155</vt:lpwstr>
  </property>
</Properties>
</file>