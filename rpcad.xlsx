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02CDDC1-E0E9-F646-AB7D-585FE8C6304F}" xr6:coauthVersionLast="47" xr6:coauthVersionMax="47" xr10:uidLastSave="{00000000-0000-0000-0000-000000000000}"/>
  <bookViews>
    <workbookView xWindow="-120" yWindow="-120" windowWidth="24240" windowHeight="13140" tabRatio="611" activeTab="3" xr2:uid="{19500329-23B7-4111-B914-019C52EE891D}"/>
  </bookViews>
  <sheets>
    <sheet name="DAMS" sheetId="1" r:id="rId1"/>
    <sheet name="Sheet1" sheetId="3" r:id="rId2"/>
    <sheet name="Sheet3" sheetId="4" r:id="rId3"/>
    <sheet name="Sheet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" i="2"/>
  <c r="B26" i="2"/>
  <c r="C26" i="2"/>
  <c r="F6" i="2"/>
  <c r="G6" i="2"/>
  <c r="B27" i="2"/>
  <c r="C27" i="2"/>
  <c r="F7" i="2"/>
  <c r="G7" i="2"/>
  <c r="B28" i="2"/>
  <c r="C28" i="2"/>
  <c r="F8" i="2"/>
  <c r="G8" i="2"/>
  <c r="B29" i="2"/>
  <c r="C29" i="2"/>
  <c r="F9" i="2"/>
  <c r="G9" i="2"/>
  <c r="B30" i="2"/>
  <c r="C30" i="2"/>
  <c r="F10" i="2"/>
  <c r="G10" i="2"/>
  <c r="B31" i="2"/>
  <c r="C31" i="2"/>
  <c r="F11" i="2"/>
  <c r="G11" i="2"/>
  <c r="B32" i="2"/>
  <c r="C32" i="2"/>
  <c r="F4" i="2"/>
  <c r="G4" i="2"/>
  <c r="B25" i="2"/>
  <c r="C25" i="2"/>
  <c r="G21" i="2"/>
  <c r="G15" i="2"/>
  <c r="G16" i="2"/>
  <c r="G17" i="2"/>
  <c r="G18" i="2"/>
  <c r="G19" i="2"/>
  <c r="G20" i="2"/>
  <c r="G14" i="2"/>
  <c r="F15" i="2"/>
  <c r="F16" i="2"/>
  <c r="F17" i="2"/>
  <c r="F18" i="2"/>
  <c r="F19" i="2"/>
  <c r="F20" i="2"/>
  <c r="F21" i="2"/>
  <c r="F14" i="2"/>
  <c r="E15" i="2"/>
  <c r="E16" i="2"/>
  <c r="E17" i="2"/>
  <c r="E18" i="2"/>
  <c r="E19" i="2"/>
  <c r="E20" i="2"/>
  <c r="E21" i="2"/>
  <c r="E14" i="2"/>
  <c r="D15" i="2"/>
  <c r="D16" i="2"/>
  <c r="D17" i="2"/>
  <c r="D18" i="2"/>
  <c r="D19" i="2"/>
  <c r="D20" i="2"/>
  <c r="D21" i="2"/>
  <c r="D14" i="2"/>
  <c r="C15" i="2"/>
  <c r="C16" i="2"/>
  <c r="C17" i="2"/>
  <c r="C18" i="2"/>
  <c r="C19" i="2"/>
  <c r="C20" i="2"/>
  <c r="C21" i="2"/>
  <c r="C14" i="2"/>
  <c r="B15" i="2"/>
  <c r="B16" i="2"/>
  <c r="B17" i="2"/>
  <c r="B18" i="2"/>
  <c r="B19" i="2"/>
  <c r="B20" i="2"/>
  <c r="B21" i="2"/>
  <c r="B14" i="2"/>
  <c r="F17" i="1"/>
  <c r="F23" i="1"/>
  <c r="G36" i="1"/>
  <c r="G38" i="1"/>
  <c r="F20" i="1"/>
  <c r="F26" i="1"/>
  <c r="G30" i="1"/>
  <c r="G32" i="1"/>
  <c r="G31" i="1"/>
  <c r="G37" i="1"/>
</calcChain>
</file>

<file path=xl/sharedStrings.xml><?xml version="1.0" encoding="utf-8"?>
<sst xmlns="http://schemas.openxmlformats.org/spreadsheetml/2006/main" count="145" uniqueCount="85">
  <si>
    <t xml:space="preserve">MASONARY DAMS </t>
  </si>
  <si>
    <t xml:space="preserve">GIVEN DATA </t>
  </si>
  <si>
    <t>VALUE</t>
  </si>
  <si>
    <t>UNIT</t>
  </si>
  <si>
    <t>m</t>
  </si>
  <si>
    <t>top width of DAM A</t>
  </si>
  <si>
    <t>bottom width of DAM B</t>
  </si>
  <si>
    <t>height of the DAM H</t>
  </si>
  <si>
    <t>Water reatined in DAM h</t>
  </si>
  <si>
    <t xml:space="preserve">unit weight pof water </t>
  </si>
  <si>
    <t>unit weight of masonry</t>
  </si>
  <si>
    <t>kn/m3</t>
  </si>
  <si>
    <t>STEP 1</t>
  </si>
  <si>
    <t>weight of the DAM per unit length W</t>
  </si>
  <si>
    <t>STEP 2</t>
  </si>
  <si>
    <t>Total pressure per unit length P</t>
  </si>
  <si>
    <t>STEP 3</t>
  </si>
  <si>
    <t>Location of Resultant X</t>
  </si>
  <si>
    <t xml:space="preserve">STEP 3 </t>
  </si>
  <si>
    <t>Distance of Resultant that cuts the base Z</t>
  </si>
  <si>
    <t>STEP 5</t>
  </si>
  <si>
    <t xml:space="preserve">When reservoir is full </t>
  </si>
  <si>
    <t>eccenticity of the Resultant</t>
  </si>
  <si>
    <t>minimum intensity of pressure at base (Pmin)</t>
  </si>
  <si>
    <t>maximumintensity of pressure at base (Pmax)</t>
  </si>
  <si>
    <t>STEP 6</t>
  </si>
  <si>
    <t>When Reservoir is Empty</t>
  </si>
  <si>
    <t>(e)</t>
  </si>
  <si>
    <t>e</t>
  </si>
  <si>
    <t>eccentricity of Resultant (e)</t>
  </si>
  <si>
    <t>TO DETERMINE THE MOMENT OF SINGLY REINFORCED BEAMS</t>
  </si>
  <si>
    <t>b</t>
  </si>
  <si>
    <t>d</t>
  </si>
  <si>
    <t>fck</t>
  </si>
  <si>
    <t>Ast</t>
  </si>
  <si>
    <t>Mu</t>
  </si>
  <si>
    <t>0.87*Ast*d*fy(1-(fy*Ast)/(b*d*fck)</t>
  </si>
  <si>
    <t>Regression</t>
  </si>
  <si>
    <t>.0125*(</t>
  </si>
  <si>
    <t>fy</t>
  </si>
  <si>
    <t>logb</t>
  </si>
  <si>
    <t>log d</t>
  </si>
  <si>
    <t>0.85*b*d/fy</t>
  </si>
  <si>
    <t>logfck</t>
  </si>
  <si>
    <t>log fy</t>
  </si>
  <si>
    <t>log Ast</t>
  </si>
  <si>
    <t>log Mu</t>
  </si>
  <si>
    <t>Step 3</t>
  </si>
  <si>
    <t>To apply Regression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</si>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</sst>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STEP 5 When reservoir is full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466146652503796E-2"/>
          <c:y val="2.4907571858996471E-2"/>
          <c:w val="0.88342143876374091"/>
          <c:h val="0.75924656335853569"/>
        </c:manualLayout>
      </c:layout>
      <c:areaChart>
        <c:grouping val="standard"/>
        <c:varyColors val="0"/>
        <c:ser>
          <c:idx val="1"/>
          <c:order val="1"/>
          <c:tx>
            <c:strRef>
              <c:f>DAMS!$G$28:$G$29</c:f>
              <c:strCache>
                <c:ptCount val="2"/>
                <c:pt idx="0">
                  <c:v>STEP 5</c:v>
                </c:pt>
                <c:pt idx="1">
                  <c:v>When reservoir is full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DAMS!$B$30:$B$32</c:f>
              <c:strCache>
                <c:ptCount val="3"/>
                <c:pt idx="0">
                  <c:v>eccenticity of the Resultant</c:v>
                </c:pt>
                <c:pt idx="1">
                  <c:v>minimum intensity of pressure at base (Pmin)</c:v>
                </c:pt>
                <c:pt idx="2">
                  <c:v>maximumintensity of pressure at base (Pmax)</c:v>
                </c:pt>
              </c:strCache>
            </c:strRef>
          </c:cat>
          <c:val>
            <c:numRef>
              <c:f>DAMS!$G$30:$G$32</c:f>
              <c:numCache>
                <c:formatCode>General</c:formatCode>
                <c:ptCount val="3"/>
                <c:pt idx="0">
                  <c:v>2.174840856481481</c:v>
                </c:pt>
                <c:pt idx="1">
                  <c:v>-213.32142857142847</c:v>
                </c:pt>
                <c:pt idx="2">
                  <c:v>707.03571428571422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3-401E-90B8-C1C74F72C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984927"/>
        <c:axId val="124696812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DAMS!$F$28:$F$29</c15:sqref>
                        </c15:formulaRef>
                      </c:ext>
                    </c:extLst>
                    <c:strCache>
                      <c:ptCount val="2"/>
                      <c:pt idx="0">
                        <c:v>STEP 5</c:v>
                      </c:pt>
                      <c:pt idx="1">
                        <c:v>When reservoir is full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DAMS!$B$30:$B$32</c15:sqref>
                        </c15:formulaRef>
                      </c:ext>
                    </c:extLst>
                    <c:strCache>
                      <c:ptCount val="3"/>
                      <c:pt idx="0">
                        <c:v>eccenticity of the Resultant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DAMS!$F$30:$F$32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0B3-401E-90B8-C1C74F72CFAD}"/>
                  </c:ext>
                </c:extLst>
              </c15:ser>
            </c15:filteredAreaSeries>
          </c:ext>
        </c:extLst>
      </c:areaChart>
      <c:catAx>
        <c:axId val="12469849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68127"/>
        <c:crosses val="autoZero"/>
        <c:auto val="1"/>
        <c:lblAlgn val="ctr"/>
        <c:lblOffset val="100"/>
        <c:noMultiLvlLbl val="0"/>
      </c:catAx>
      <c:valAx>
        <c:axId val="124696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8492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4"/>
          <c:order val="4"/>
          <c:tx>
            <c:strRef>
              <c:f>DAMS!$G$34:$G$35</c:f>
              <c:strCache>
                <c:ptCount val="2"/>
                <c:pt idx="0">
                  <c:v>STEP 6</c:v>
                </c:pt>
                <c:pt idx="1">
                  <c:v>When Reservoir is Empty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DAMS!$B$36:$B$38</c:f>
              <c:strCache>
                <c:ptCount val="3"/>
                <c:pt idx="0">
                  <c:v>eccentricity of Resultant (e)</c:v>
                </c:pt>
                <c:pt idx="1">
                  <c:v>minimum intensity of pressure at base (Pmin)</c:v>
                </c:pt>
                <c:pt idx="2">
                  <c:v>maximumintensity of pressure at base (Pmax)</c:v>
                </c:pt>
              </c:strCache>
            </c:strRef>
          </c:cat>
          <c:val>
            <c:numRef>
              <c:f>DAMS!$G$36:$G$38</c:f>
              <c:numCache>
                <c:formatCode>General</c:formatCode>
                <c:ptCount val="3"/>
                <c:pt idx="0">
                  <c:v>1.0185185185185186</c:v>
                </c:pt>
                <c:pt idx="1">
                  <c:v>31.346938775510175</c:v>
                </c:pt>
                <c:pt idx="2">
                  <c:v>462.36734693877554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F-4591-95B3-D795B9B39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990687"/>
        <c:axId val="124697100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DAMS!$C$34:$C$35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DAMS!$C$36:$C$38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1BF-4591-95B3-D795B9B39E76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DAMS!$D$34:$D$35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DAMS!$D$36:$D$38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BF-4591-95B3-D795B9B39E76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DAMS!$E$34:$E$35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DAMS!$E$36:$E$38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BF-4591-95B3-D795B9B39E76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DAMS!$F$34:$F$35</c15:sqref>
                        </c15:formulaRef>
                      </c:ext>
                    </c:extLst>
                    <c:strCache>
                      <c:ptCount val="2"/>
                      <c:pt idx="0">
                        <c:v>STEP 6</c:v>
                      </c:pt>
                      <c:pt idx="1">
                        <c:v>When Reservoir is Empty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DAMS!$B$36:$B$38</c15:sqref>
                        </c15:formulaRef>
                      </c:ext>
                    </c:extLst>
                    <c:strCache>
                      <c:ptCount val="3"/>
                      <c:pt idx="0">
                        <c:v>eccentricity of Resultant (e)</c:v>
                      </c:pt>
                      <c:pt idx="1">
                        <c:v>minimum intensity of pressure at base (Pmin)</c:v>
                      </c:pt>
                      <c:pt idx="2">
                        <c:v>maximumintensity of pressure at base (Pmax)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DAMS!$F$36:$F$38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BF-4591-95B3-D795B9B39E76}"/>
                  </c:ext>
                </c:extLst>
              </c15:ser>
            </c15:filteredAreaSeries>
          </c:ext>
        </c:extLst>
      </c:areaChart>
      <c:catAx>
        <c:axId val="1246990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71007"/>
        <c:crosses val="autoZero"/>
        <c:auto val="1"/>
        <c:lblAlgn val="ctr"/>
        <c:lblOffset val="100"/>
        <c:noMultiLvlLbl val="0"/>
      </c:catAx>
      <c:valAx>
        <c:axId val="124697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9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B7-4F52-BB35-E9C5E59A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3103"/>
        <c:axId val="881026063"/>
      </c:scatterChart>
      <c:valAx>
        <c:axId val="881013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6063"/>
        <c:crosses val="autoZero"/>
        <c:crossBetween val="midCat"/>
      </c:valAx>
      <c:valAx>
        <c:axId val="881026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310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06-4172-973F-499664E15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9343"/>
        <c:axId val="881031823"/>
      </c:scatterChart>
      <c:valAx>
        <c:axId val="881019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1823"/>
        <c:crosses val="autoZero"/>
        <c:crossBetween val="midCat"/>
      </c:valAx>
      <c:valAx>
        <c:axId val="88103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93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EF-49C2-98F3-EA659817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0223"/>
        <c:axId val="881005423"/>
      </c:scatterChart>
      <c:valAx>
        <c:axId val="88101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5423"/>
        <c:crosses val="autoZero"/>
        <c:crossBetween val="midCat"/>
      </c:valAx>
      <c:valAx>
        <c:axId val="881005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02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BA-45B1-B9AB-CC9C49C0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3134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1343"/>
        <c:crosses val="autoZero"/>
        <c:crossBetween val="midCat"/>
      </c:valAx>
      <c:valAx>
        <c:axId val="881031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Sheet1!$C$29:$C$36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F4-4505-BDB6-2BBC4BC42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3518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5183"/>
        <c:crosses val="autoZero"/>
        <c:crossBetween val="midCat"/>
      </c:valAx>
      <c:valAx>
        <c:axId val="881035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52-45D5-A8B7-C1F4444FF49F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52-45D5-A8B7-C1F4444F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21743"/>
        <c:axId val="881022223"/>
      </c:scatterChart>
      <c:valAx>
        <c:axId val="88102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2223"/>
        <c:crosses val="autoZero"/>
        <c:crossBetween val="midCat"/>
      </c:valAx>
      <c:valAx>
        <c:axId val="881022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17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1-4B40-9543-8E1BA218F725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D1-4B40-9543-8E1BA218F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07343"/>
        <c:axId val="881009263"/>
      </c:scatterChart>
      <c:valAx>
        <c:axId val="88100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9263"/>
        <c:crosses val="autoZero"/>
        <c:crossBetween val="midCat"/>
      </c:valAx>
      <c:valAx>
        <c:axId val="881009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73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F1-4391-AC21-C11FB487DF7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F1-4391-AC21-C11FB487D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2623"/>
        <c:axId val="881013583"/>
      </c:scatterChart>
      <c:valAx>
        <c:axId val="8810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3583"/>
        <c:crosses val="autoZero"/>
        <c:crossBetween val="midCat"/>
      </c:valAx>
      <c:valAx>
        <c:axId val="881013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2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73-4280-BA07-67CE1E032A2B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73-4280-BA07-67CE1E032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18863"/>
        <c:axId val="881019823"/>
      </c:scatterChart>
      <c:valAx>
        <c:axId val="881018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9823"/>
        <c:crosses val="autoZero"/>
        <c:crossBetween val="midCat"/>
      </c:valAx>
      <c:valAx>
        <c:axId val="881019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188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BE-4D0E-BD6F-CEC7D484C67C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Sheet1!$B$29:$B$36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BE-4D0E-BD6F-CEC7D484C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23663"/>
        <c:axId val="881039023"/>
      </c:scatterChart>
      <c:valAx>
        <c:axId val="88102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39023"/>
        <c:crosses val="autoZero"/>
        <c:crossBetween val="midCat"/>
      </c:valAx>
      <c:valAx>
        <c:axId val="88103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236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Sheet1!$F$29:$F$36</c:f>
              <c:numCache>
                <c:formatCode>General</c:formatCode>
                <c:ptCount val="8"/>
                <c:pt idx="0">
                  <c:v>6.25</c:v>
                </c:pt>
                <c:pt idx="1">
                  <c:v>18.75</c:v>
                </c:pt>
                <c:pt idx="2">
                  <c:v>31.25</c:v>
                </c:pt>
                <c:pt idx="3">
                  <c:v>43.75</c:v>
                </c:pt>
                <c:pt idx="4">
                  <c:v>56.25</c:v>
                </c:pt>
                <c:pt idx="5">
                  <c:v>68.75</c:v>
                </c:pt>
                <c:pt idx="6">
                  <c:v>81.25</c:v>
                </c:pt>
                <c:pt idx="7">
                  <c:v>93.75</c:v>
                </c:pt>
              </c:numCache>
            </c:numRef>
          </c:xVal>
          <c:yVal>
            <c:numRef>
              <c:f>Sheet1!$G$29:$G$36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40-49DA-A8F9-68479F194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36623"/>
        <c:axId val="881037103"/>
      </c:scatterChart>
      <c:valAx>
        <c:axId val="881036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1037103"/>
        <c:crosses val="autoZero"/>
        <c:crossBetween val="midCat"/>
      </c:valAx>
      <c:valAx>
        <c:axId val="881037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81036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79-4946-A0DD-AF1696D66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78543"/>
        <c:axId val="880979023"/>
      </c:scatterChart>
      <c:valAx>
        <c:axId val="88097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9023"/>
        <c:crosses val="autoZero"/>
        <c:crossBetween val="midCat"/>
      </c:valAx>
      <c:valAx>
        <c:axId val="880979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8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CC-479E-AC93-A60D2785E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2863"/>
        <c:axId val="880996783"/>
      </c:scatterChart>
      <c:valAx>
        <c:axId val="880982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6783"/>
        <c:crosses val="autoZero"/>
        <c:crossBetween val="midCat"/>
      </c:valAx>
      <c:valAx>
        <c:axId val="880996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28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FA-4778-B599-A1EA29BA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1983"/>
        <c:axId val="880984783"/>
      </c:scatterChart>
      <c:valAx>
        <c:axId val="88099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4783"/>
        <c:crosses val="autoZero"/>
        <c:crossBetween val="midCat"/>
      </c:valAx>
      <c:valAx>
        <c:axId val="880984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9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CA-4FF2-B087-AB3CD826B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0543"/>
        <c:axId val="880988143"/>
      </c:scatterChart>
      <c:valAx>
        <c:axId val="88099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8143"/>
        <c:crosses val="autoZero"/>
        <c:crossBetween val="midCat"/>
      </c:valAx>
      <c:valAx>
        <c:axId val="880988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05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Sheet3!$C$29:$C$36</c:f>
              <c:numCache>
                <c:formatCode>General</c:formatCode>
                <c:ptCount val="8"/>
                <c:pt idx="0">
                  <c:v>-1.76403691654059E-9</c:v>
                </c:pt>
                <c:pt idx="1">
                  <c:v>1.0584389364964863E-8</c:v>
                </c:pt>
                <c:pt idx="2">
                  <c:v>-1.8635491372265278E-8</c:v>
                </c:pt>
                <c:pt idx="3">
                  <c:v>3.5460452352253924E-9</c:v>
                </c:pt>
                <c:pt idx="4">
                  <c:v>1.4867160835763116E-8</c:v>
                </c:pt>
                <c:pt idx="5">
                  <c:v>-1.6497736510245886E-10</c:v>
                </c:pt>
                <c:pt idx="6">
                  <c:v>-1.6459265950174995E-8</c:v>
                </c:pt>
                <c:pt idx="7">
                  <c:v>8.0261788326652095E-9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27-42BA-A89F-8E0E5211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9183"/>
        <c:axId val="880999663"/>
      </c:scatterChart>
      <c:valAx>
        <c:axId val="88099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663"/>
        <c:crosses val="autoZero"/>
        <c:crossBetween val="midCat"/>
      </c:valAx>
      <c:valAx>
        <c:axId val="880999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1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96-4085-A042-6C5EA5810C30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Sheet2!$B$14:$B$21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2.3521825181113627</c:v>
                </c:pt>
                <c:pt idx="2">
                  <c:v>2.3979400086720375</c:v>
                </c:pt>
                <c:pt idx="3">
                  <c:v>2.4393326938302629</c:v>
                </c:pt>
                <c:pt idx="4">
                  <c:v>2.4771212547196626</c:v>
                </c:pt>
                <c:pt idx="5">
                  <c:v>2.5118833609788744</c:v>
                </c:pt>
                <c:pt idx="6">
                  <c:v>2.5440680443502757</c:v>
                </c:pt>
                <c:pt idx="7">
                  <c:v>2.5740312677277188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96-4085-A042-6C5EA5810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9183"/>
        <c:axId val="880981423"/>
      </c:scatterChart>
      <c:valAx>
        <c:axId val="88099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81423"/>
        <c:crosses val="autoZero"/>
        <c:crossBetween val="midCat"/>
      </c:valAx>
      <c:valAx>
        <c:axId val="8809814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91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EB-4D9B-B5BE-D4FD1AE06AA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Sheet2!$C$14:$C$21</c:f>
              <c:numCache>
                <c:formatCode>General</c:formatCode>
                <c:ptCount val="8"/>
                <c:pt idx="0">
                  <c:v>2.3010299956639813</c:v>
                </c:pt>
                <c:pt idx="1">
                  <c:v>2.4393326938302629</c:v>
                </c:pt>
                <c:pt idx="2">
                  <c:v>2.5440680443502757</c:v>
                </c:pt>
                <c:pt idx="3">
                  <c:v>2.6283889300503116</c:v>
                </c:pt>
                <c:pt idx="4">
                  <c:v>2.6989700043360187</c:v>
                </c:pt>
                <c:pt idx="5">
                  <c:v>2.7596678446896306</c:v>
                </c:pt>
                <c:pt idx="6">
                  <c:v>2.8129133566428557</c:v>
                </c:pt>
                <c:pt idx="7">
                  <c:v>2.8603380065709936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B-4D9B-B5BE-D4FD1AE0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1503"/>
        <c:axId val="881002063"/>
      </c:scatterChart>
      <c:valAx>
        <c:axId val="880991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2063"/>
        <c:crosses val="autoZero"/>
        <c:crossBetween val="midCat"/>
      </c:valAx>
      <c:valAx>
        <c:axId val="88100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5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3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46-4977-A3D7-29BC8A19B90B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Sheet2!$D$14:$D$21</c:f>
              <c:numCache>
                <c:formatCode>General</c:formatCode>
                <c:ptCount val="8"/>
                <c:pt idx="0">
                  <c:v>1.3010299956639813</c:v>
                </c:pt>
                <c:pt idx="1">
                  <c:v>1.3424226808222062</c:v>
                </c:pt>
                <c:pt idx="2">
                  <c:v>1.3802112417116059</c:v>
                </c:pt>
                <c:pt idx="3">
                  <c:v>1.414973347970818</c:v>
                </c:pt>
                <c:pt idx="4">
                  <c:v>1.4471580313422192</c:v>
                </c:pt>
                <c:pt idx="5">
                  <c:v>1.4771212547196624</c:v>
                </c:pt>
                <c:pt idx="6">
                  <c:v>1.505149978319906</c:v>
                </c:pt>
                <c:pt idx="7">
                  <c:v>1.5314789170422551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46-4977-A3D7-29BC8A19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98223"/>
        <c:axId val="880991983"/>
      </c:scatterChart>
      <c:valAx>
        <c:axId val="880998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3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1983"/>
        <c:crosses val="autoZero"/>
        <c:crossBetween val="midCat"/>
      </c:valAx>
      <c:valAx>
        <c:axId val="880991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82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BE-46BB-AE51-5DEFDB713F16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Sheet2!$E$14:$E$21</c:f>
              <c:numCache>
                <c:formatCode>General</c:formatCode>
                <c:ptCount val="8"/>
                <c:pt idx="0">
                  <c:v>2.3979400086720375</c:v>
                </c:pt>
                <c:pt idx="1">
                  <c:v>2.4232458739368079</c:v>
                </c:pt>
                <c:pt idx="2">
                  <c:v>2.4471580313422194</c:v>
                </c:pt>
                <c:pt idx="3">
                  <c:v>2.469822015978163</c:v>
                </c:pt>
                <c:pt idx="4">
                  <c:v>2.4913616938342726</c:v>
                </c:pt>
                <c:pt idx="5">
                  <c:v>2.5118833609788744</c:v>
                </c:pt>
                <c:pt idx="6">
                  <c:v>2.5314789170422549</c:v>
                </c:pt>
                <c:pt idx="7">
                  <c:v>2.5502283530550942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BE-46BB-AE51-5DEFDB713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000623"/>
        <c:axId val="880979503"/>
      </c:scatterChart>
      <c:valAx>
        <c:axId val="88100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9503"/>
        <c:crosses val="autoZero"/>
        <c:crossBetween val="midCat"/>
      </c:valAx>
      <c:valAx>
        <c:axId val="880979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1000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Sheet2!$G$14:$G$21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5F-43E6-88D6-1DD7F183AFBD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Sheet2!$F$14:$F$21</c:f>
              <c:numCache>
                <c:formatCode>General</c:formatCode>
                <c:ptCount val="8"/>
                <c:pt idx="0">
                  <c:v>2.1335389083702174</c:v>
                </c:pt>
                <c:pt idx="1">
                  <c:v>2.2976882637191101</c:v>
                </c:pt>
                <c:pt idx="2">
                  <c:v>2.4242689473943866</c:v>
                </c:pt>
                <c:pt idx="3">
                  <c:v>2.5273185336167039</c:v>
                </c:pt>
                <c:pt idx="4">
                  <c:v>2.6141484909357011</c:v>
                </c:pt>
                <c:pt idx="5">
                  <c:v>2.6890867704039234</c:v>
                </c:pt>
                <c:pt idx="6">
                  <c:v>2.7549214096651689</c:v>
                </c:pt>
                <c:pt idx="7">
                  <c:v>2.8135598469579111</c:v>
                </c:pt>
              </c:numCache>
            </c:numRef>
          </c:xVal>
          <c:yVal>
            <c:numRef>
              <c:f>Sheet3!$B$29:$B$36</c:f>
              <c:numCache>
                <c:formatCode>General</c:formatCode>
                <c:ptCount val="8"/>
                <c:pt idx="0">
                  <c:v>6.7531669497295521</c:v>
                </c:pt>
                <c:pt idx="1">
                  <c:v>7.0826737644092645</c:v>
                </c:pt>
                <c:pt idx="2">
                  <c:v>7.339354047983357</c:v>
                </c:pt>
                <c:pt idx="3">
                  <c:v>7.5506133701388798</c:v>
                </c:pt>
                <c:pt idx="4">
                  <c:v>7.7306112294400968</c:v>
                </c:pt>
                <c:pt idx="5">
                  <c:v>7.8876745332313947</c:v>
                </c:pt>
                <c:pt idx="6">
                  <c:v>8.0271410251034467</c:v>
                </c:pt>
                <c:pt idx="7">
                  <c:v>8.1526500668749762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5F-43E6-88D6-1DD7F183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74703"/>
        <c:axId val="880997743"/>
      </c:scatterChart>
      <c:valAx>
        <c:axId val="88097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97743"/>
        <c:crosses val="autoZero"/>
        <c:crossBetween val="midCat"/>
      </c:valAx>
      <c:valAx>
        <c:axId val="880997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09747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Sheet3!$F$29:$F$36</c:f>
              <c:numCache>
                <c:formatCode>General</c:formatCode>
                <c:ptCount val="8"/>
                <c:pt idx="0">
                  <c:v>6.25</c:v>
                </c:pt>
                <c:pt idx="1">
                  <c:v>18.75</c:v>
                </c:pt>
                <c:pt idx="2">
                  <c:v>31.25</c:v>
                </c:pt>
                <c:pt idx="3">
                  <c:v>43.75</c:v>
                </c:pt>
                <c:pt idx="4">
                  <c:v>56.25</c:v>
                </c:pt>
                <c:pt idx="5">
                  <c:v>68.75</c:v>
                </c:pt>
                <c:pt idx="6">
                  <c:v>81.25</c:v>
                </c:pt>
                <c:pt idx="7">
                  <c:v>93.75</c:v>
                </c:pt>
              </c:numCache>
            </c:numRef>
          </c:xVal>
          <c:yVal>
            <c:numRef>
              <c:f>Sheet3!$G$29:$G$36</c:f>
              <c:numCache>
                <c:formatCode>General</c:formatCode>
                <c:ptCount val="8"/>
                <c:pt idx="0">
                  <c:v>6.7531669479655152</c:v>
                </c:pt>
                <c:pt idx="1">
                  <c:v>7.0826737749936539</c:v>
                </c:pt>
                <c:pt idx="2">
                  <c:v>7.3393540293478656</c:v>
                </c:pt>
                <c:pt idx="3">
                  <c:v>7.550613373684925</c:v>
                </c:pt>
                <c:pt idx="4">
                  <c:v>7.7306112443072577</c:v>
                </c:pt>
                <c:pt idx="5">
                  <c:v>7.8876745330664173</c:v>
                </c:pt>
                <c:pt idx="6">
                  <c:v>8.0271410086441808</c:v>
                </c:pt>
                <c:pt idx="7">
                  <c:v>8.152650074901155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0-4B89-836C-E4BA059B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09647"/>
        <c:axId val="696504367"/>
      </c:scatterChart>
      <c:valAx>
        <c:axId val="69650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504367"/>
        <c:crosses val="autoZero"/>
        <c:crossBetween val="midCat"/>
      </c:valAx>
      <c:valAx>
        <c:axId val="696504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5096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34816336138106"/>
          <c:y val="0.10558391895000635"/>
          <c:w val="0.83853203415389943"/>
          <c:h val="0.8442354865085854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Sheet2!$C$4:$C$11</c:f>
              <c:numCache>
                <c:formatCode>General</c:formatCode>
                <c:ptCount val="8"/>
                <c:pt idx="0">
                  <c:v>200</c:v>
                </c:pt>
                <c:pt idx="1">
                  <c:v>275</c:v>
                </c:pt>
                <c:pt idx="2">
                  <c:v>350</c:v>
                </c:pt>
                <c:pt idx="3">
                  <c:v>425</c:v>
                </c:pt>
                <c:pt idx="4">
                  <c:v>500</c:v>
                </c:pt>
                <c:pt idx="5">
                  <c:v>575</c:v>
                </c:pt>
                <c:pt idx="6">
                  <c:v>650</c:v>
                </c:pt>
                <c:pt idx="7">
                  <c:v>725</c:v>
                </c:pt>
              </c:numCache>
            </c:numRef>
          </c:xVal>
          <c:yVal>
            <c:numRef>
              <c:f>Sheet2!$B$25:$B$32</c:f>
              <c:numCache>
                <c:formatCode>General</c:formatCode>
                <c:ptCount val="8"/>
                <c:pt idx="0">
                  <c:v>5611434.9087119512</c:v>
                </c:pt>
                <c:pt idx="1">
                  <c:v>13170708.552355286</c:v>
                </c:pt>
                <c:pt idx="2">
                  <c:v>25831369.061938185</c:v>
                </c:pt>
                <c:pt idx="3">
                  <c:v>45273173.571423635</c:v>
                </c:pt>
                <c:pt idx="4">
                  <c:v>73357883.288233668</c:v>
                </c:pt>
                <c:pt idx="5">
                  <c:v>112136080.02955419</c:v>
                </c:pt>
                <c:pt idx="6">
                  <c:v>163842569.97627062</c:v>
                </c:pt>
                <c:pt idx="7">
                  <c:v>230892335.30995226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2C-4380-9C21-2B2F65CA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175039"/>
        <c:axId val="950155359"/>
      </c:scatterChart>
      <c:valAx>
        <c:axId val="95017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55359"/>
        <c:crosses val="autoZero"/>
        <c:crossBetween val="midCat"/>
      </c:valAx>
      <c:valAx>
        <c:axId val="9501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75039"/>
        <c:crosses val="autoZero"/>
        <c:crossBetween val="midCat"/>
      </c:valAx>
      <c:spPr>
        <a:noFill/>
        <a:ln>
          <a:solidFill>
            <a:srgbClr val="00B0F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 /><Relationship Id="rId3" Type="http://schemas.openxmlformats.org/officeDocument/2006/relationships/chart" Target="../charts/chart5.xml" /><Relationship Id="rId7" Type="http://schemas.openxmlformats.org/officeDocument/2006/relationships/chart" Target="../charts/chart9.xml" /><Relationship Id="rId2" Type="http://schemas.openxmlformats.org/officeDocument/2006/relationships/chart" Target="../charts/chart4.xml" /><Relationship Id="rId1" Type="http://schemas.openxmlformats.org/officeDocument/2006/relationships/chart" Target="../charts/chart3.xml" /><Relationship Id="rId6" Type="http://schemas.openxmlformats.org/officeDocument/2006/relationships/chart" Target="../charts/chart8.xml" /><Relationship Id="rId11" Type="http://schemas.openxmlformats.org/officeDocument/2006/relationships/chart" Target="../charts/chart13.xml" /><Relationship Id="rId5" Type="http://schemas.openxmlformats.org/officeDocument/2006/relationships/chart" Target="../charts/chart7.xml" /><Relationship Id="rId10" Type="http://schemas.openxmlformats.org/officeDocument/2006/relationships/chart" Target="../charts/chart12.xml" /><Relationship Id="rId4" Type="http://schemas.openxmlformats.org/officeDocument/2006/relationships/chart" Target="../charts/chart6.xml" /><Relationship Id="rId9" Type="http://schemas.openxmlformats.org/officeDocument/2006/relationships/chart" Target="../charts/chart11.xml" 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 /><Relationship Id="rId3" Type="http://schemas.openxmlformats.org/officeDocument/2006/relationships/chart" Target="../charts/chart16.xml" /><Relationship Id="rId7" Type="http://schemas.openxmlformats.org/officeDocument/2006/relationships/chart" Target="../charts/chart20.xml" /><Relationship Id="rId2" Type="http://schemas.openxmlformats.org/officeDocument/2006/relationships/chart" Target="../charts/chart15.xml" /><Relationship Id="rId1" Type="http://schemas.openxmlformats.org/officeDocument/2006/relationships/chart" Target="../charts/chart14.xml" /><Relationship Id="rId6" Type="http://schemas.openxmlformats.org/officeDocument/2006/relationships/chart" Target="../charts/chart19.xml" /><Relationship Id="rId11" Type="http://schemas.openxmlformats.org/officeDocument/2006/relationships/chart" Target="../charts/chart24.xml" /><Relationship Id="rId5" Type="http://schemas.openxmlformats.org/officeDocument/2006/relationships/chart" Target="../charts/chart18.xml" /><Relationship Id="rId10" Type="http://schemas.openxmlformats.org/officeDocument/2006/relationships/chart" Target="../charts/chart23.xml" /><Relationship Id="rId4" Type="http://schemas.openxmlformats.org/officeDocument/2006/relationships/chart" Target="../charts/chart17.xml" /><Relationship Id="rId9" Type="http://schemas.openxmlformats.org/officeDocument/2006/relationships/chart" Target="../charts/chart22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21</xdr:row>
      <xdr:rowOff>122903</xdr:rowOff>
    </xdr:from>
    <xdr:to>
      <xdr:col>16</xdr:col>
      <xdr:colOff>419919</xdr:colOff>
      <xdr:row>36</xdr:row>
      <xdr:rowOff>30726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23F6F4-25D6-2C04-4F03-0C43F77DA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10242</xdr:colOff>
      <xdr:row>21</xdr:row>
      <xdr:rowOff>122903</xdr:rowOff>
    </xdr:from>
    <xdr:to>
      <xdr:col>24</xdr:col>
      <xdr:colOff>112661</xdr:colOff>
      <xdr:row>36</xdr:row>
      <xdr:rowOff>30726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CC84B5-B5EC-971A-BBBF-79877A4D3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E8C56-6460-E3CF-950A-9CC64D793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E4827-D7F9-2493-D4D0-40977CDB0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4D9F3-4C6C-7F4B-41D6-05034012D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3371B-0F18-8275-9A64-06A7DEF04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C2494E-BB14-065C-CEBC-02C12B16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E7DAE6-5C2D-7EBD-F0A3-C4FF5C89D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238125</xdr:colOff>
      <xdr:row>12</xdr:row>
      <xdr:rowOff>180975</xdr:rowOff>
    </xdr:from>
    <xdr:to>
      <xdr:col>21</xdr:col>
      <xdr:colOff>238125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B04450-AE17-79D6-3C6D-81015FCD9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238125</xdr:colOff>
      <xdr:row>14</xdr:row>
      <xdr:rowOff>180975</xdr:rowOff>
    </xdr:from>
    <xdr:to>
      <xdr:col>22</xdr:col>
      <xdr:colOff>238125</xdr:colOff>
      <xdr:row>24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DB8E27-B7E6-52A2-56A1-71FB3ABF3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238125</xdr:colOff>
      <xdr:row>16</xdr:row>
      <xdr:rowOff>180975</xdr:rowOff>
    </xdr:from>
    <xdr:to>
      <xdr:col>23</xdr:col>
      <xdr:colOff>238125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A59B11-605C-D6D5-9C82-08407A3F0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238125</xdr:colOff>
      <xdr:row>18</xdr:row>
      <xdr:rowOff>180975</xdr:rowOff>
    </xdr:from>
    <xdr:to>
      <xdr:col>24</xdr:col>
      <xdr:colOff>238125</xdr:colOff>
      <xdr:row>28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E5DE89-EBA9-F8B6-50E4-3A669EBC5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238125</xdr:colOff>
      <xdr:row>20</xdr:row>
      <xdr:rowOff>180975</xdr:rowOff>
    </xdr:from>
    <xdr:to>
      <xdr:col>25</xdr:col>
      <xdr:colOff>238125</xdr:colOff>
      <xdr:row>30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50FD20-4C63-9022-A213-5D63C1D50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501C1-0D3D-B07F-19D6-9A961980E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12C55-3917-8076-FC6E-1C57835AA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BBC79C-699F-4AD5-C3FB-6CD973453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55133F-20C9-30D3-C9B2-E20F353EF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03FFD5-5BF6-D907-DB3F-E237FC694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5DDE86-35F3-AD4D-208E-9EA04DDC3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238125</xdr:colOff>
      <xdr:row>12</xdr:row>
      <xdr:rowOff>180975</xdr:rowOff>
    </xdr:from>
    <xdr:to>
      <xdr:col>21</xdr:col>
      <xdr:colOff>238125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B6DB9A-C4C6-6966-E93F-B81DA83E2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238125</xdr:colOff>
      <xdr:row>14</xdr:row>
      <xdr:rowOff>180975</xdr:rowOff>
    </xdr:from>
    <xdr:to>
      <xdr:col>22</xdr:col>
      <xdr:colOff>238125</xdr:colOff>
      <xdr:row>24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C5E1C2-7D30-EE1B-C762-6C4879195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238125</xdr:colOff>
      <xdr:row>16</xdr:row>
      <xdr:rowOff>180975</xdr:rowOff>
    </xdr:from>
    <xdr:to>
      <xdr:col>23</xdr:col>
      <xdr:colOff>238125</xdr:colOff>
      <xdr:row>26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7E6840-45A8-D2A8-8DBE-118A88729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238125</xdr:colOff>
      <xdr:row>18</xdr:row>
      <xdr:rowOff>180975</xdr:rowOff>
    </xdr:from>
    <xdr:to>
      <xdr:col>24</xdr:col>
      <xdr:colOff>238125</xdr:colOff>
      <xdr:row>28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F0DF8C-B2D1-8833-0065-0D8E33D3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238125</xdr:colOff>
      <xdr:row>20</xdr:row>
      <xdr:rowOff>180975</xdr:rowOff>
    </xdr:from>
    <xdr:to>
      <xdr:col>25</xdr:col>
      <xdr:colOff>238125</xdr:colOff>
      <xdr:row>30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B4C537-046D-6A8B-710A-1EC73F2C3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364191</xdr:colOff>
      <xdr:row>13</xdr:row>
      <xdr:rowOff>78441</xdr:rowOff>
    </xdr:from>
    <xdr:to>
      <xdr:col>15</xdr:col>
      <xdr:colOff>437029</xdr:colOff>
      <xdr:row>31</xdr:row>
      <xdr:rowOff>10085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119FBF-2046-584C-6A01-5665EA6B4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7B4E-D436-4B60-989B-7714DF8C5B9D}">
  <dimension ref="A3:H38"/>
  <sheetViews>
    <sheetView topLeftCell="A5" zoomScale="80" zoomScaleNormal="80" workbookViewId="0">
      <selection activeCell="M12" sqref="M12"/>
    </sheetView>
  </sheetViews>
  <sheetFormatPr defaultRowHeight="15" x14ac:dyDescent="0.2"/>
  <sheetData>
    <row r="3" spans="2:8" x14ac:dyDescent="0.2">
      <c r="E3" s="1"/>
      <c r="F3" s="1"/>
      <c r="G3" s="1"/>
      <c r="H3" s="1"/>
    </row>
    <row r="5" spans="2:8" x14ac:dyDescent="0.2">
      <c r="C5" t="s">
        <v>0</v>
      </c>
    </row>
    <row r="7" spans="2:8" x14ac:dyDescent="0.2">
      <c r="C7" t="s">
        <v>1</v>
      </c>
      <c r="E7" t="s">
        <v>2</v>
      </c>
      <c r="F7" t="s">
        <v>3</v>
      </c>
    </row>
    <row r="8" spans="2:8" x14ac:dyDescent="0.2">
      <c r="B8" t="s">
        <v>5</v>
      </c>
      <c r="E8">
        <v>2</v>
      </c>
      <c r="F8" t="s">
        <v>4</v>
      </c>
    </row>
    <row r="9" spans="2:8" x14ac:dyDescent="0.2">
      <c r="B9" t="s">
        <v>6</v>
      </c>
      <c r="C9" s="1"/>
      <c r="D9" s="1"/>
      <c r="E9" s="1">
        <v>7</v>
      </c>
      <c r="F9" s="1" t="s">
        <v>4</v>
      </c>
      <c r="G9" s="1"/>
    </row>
    <row r="10" spans="2:8" x14ac:dyDescent="0.2">
      <c r="B10" t="s">
        <v>7</v>
      </c>
      <c r="C10" s="1"/>
      <c r="D10" s="1"/>
      <c r="E10" s="1">
        <v>16</v>
      </c>
      <c r="F10" t="s">
        <v>4</v>
      </c>
      <c r="G10" s="1"/>
    </row>
    <row r="11" spans="2:8" x14ac:dyDescent="0.2">
      <c r="B11" t="s">
        <v>8</v>
      </c>
      <c r="E11">
        <v>15</v>
      </c>
      <c r="F11" t="s">
        <v>4</v>
      </c>
      <c r="G11" s="1"/>
    </row>
    <row r="12" spans="2:8" x14ac:dyDescent="0.2">
      <c r="B12" t="s">
        <v>9</v>
      </c>
      <c r="E12">
        <v>9.81</v>
      </c>
      <c r="F12" t="s">
        <v>11</v>
      </c>
      <c r="G12" s="1"/>
    </row>
    <row r="13" spans="2:8" x14ac:dyDescent="0.2">
      <c r="B13" t="s">
        <v>10</v>
      </c>
      <c r="E13">
        <v>24</v>
      </c>
      <c r="F13" t="s">
        <v>11</v>
      </c>
      <c r="G13" s="1"/>
    </row>
    <row r="14" spans="2:8" x14ac:dyDescent="0.2">
      <c r="G14" s="1"/>
    </row>
    <row r="15" spans="2:8" x14ac:dyDescent="0.2">
      <c r="G15" s="1"/>
    </row>
    <row r="16" spans="2:8" x14ac:dyDescent="0.2">
      <c r="B16" t="s">
        <v>12</v>
      </c>
      <c r="G16" s="1"/>
    </row>
    <row r="17" spans="2:7" x14ac:dyDescent="0.2">
      <c r="B17" t="s">
        <v>13</v>
      </c>
      <c r="F17">
        <f>E13*((E8+E9)/2)*E10</f>
        <v>1728</v>
      </c>
    </row>
    <row r="19" spans="2:7" x14ac:dyDescent="0.2">
      <c r="B19" t="s">
        <v>14</v>
      </c>
    </row>
    <row r="20" spans="2:7" x14ac:dyDescent="0.2">
      <c r="B20" t="s">
        <v>15</v>
      </c>
      <c r="F20">
        <f>(E12*E11^2)/2</f>
        <v>1103.625</v>
      </c>
    </row>
    <row r="22" spans="2:7" x14ac:dyDescent="0.2">
      <c r="B22" t="s">
        <v>16</v>
      </c>
    </row>
    <row r="23" spans="2:7" x14ac:dyDescent="0.2">
      <c r="B23" t="s">
        <v>17</v>
      </c>
      <c r="F23">
        <f>(E8^2+E8*E9+E9^2)/(3*(E8+E9))</f>
        <v>2.4814814814814814</v>
      </c>
    </row>
    <row r="25" spans="2:7" x14ac:dyDescent="0.2">
      <c r="B25" t="s">
        <v>18</v>
      </c>
    </row>
    <row r="26" spans="2:7" x14ac:dyDescent="0.2">
      <c r="B26" t="s">
        <v>19</v>
      </c>
      <c r="F26">
        <f>F23+(E11/3)*(F20/F17)</f>
        <v>5.674840856481481</v>
      </c>
    </row>
    <row r="28" spans="2:7" x14ac:dyDescent="0.2">
      <c r="B28" t="s">
        <v>20</v>
      </c>
    </row>
    <row r="29" spans="2:7" x14ac:dyDescent="0.2">
      <c r="B29" t="s">
        <v>21</v>
      </c>
    </row>
    <row r="30" spans="2:7" x14ac:dyDescent="0.2">
      <c r="B30" t="s">
        <v>22</v>
      </c>
      <c r="E30" t="s">
        <v>27</v>
      </c>
      <c r="G30">
        <f>F26-(E9/2)</f>
        <v>2.174840856481481</v>
      </c>
    </row>
    <row r="31" spans="2:7" x14ac:dyDescent="0.2">
      <c r="B31" t="s">
        <v>23</v>
      </c>
      <c r="G31">
        <f>(F17/E9)*(1-(6*G30)/E9)</f>
        <v>-213.32142857142847</v>
      </c>
    </row>
    <row r="32" spans="2:7" x14ac:dyDescent="0.2">
      <c r="B32" t="s">
        <v>24</v>
      </c>
      <c r="G32">
        <f>(F17/E9)*(1+(6*G30)/E9)</f>
        <v>707.03571428571422</v>
      </c>
    </row>
    <row r="34" spans="1:7" x14ac:dyDescent="0.2">
      <c r="B34" t="s">
        <v>25</v>
      </c>
    </row>
    <row r="35" spans="1:7" x14ac:dyDescent="0.2">
      <c r="B35" t="s">
        <v>26</v>
      </c>
    </row>
    <row r="36" spans="1:7" x14ac:dyDescent="0.2">
      <c r="A36" t="s">
        <v>28</v>
      </c>
      <c r="B36" t="s">
        <v>29</v>
      </c>
      <c r="G36">
        <f>(E9/2)-F23</f>
        <v>1.0185185185185186</v>
      </c>
    </row>
    <row r="37" spans="1:7" x14ac:dyDescent="0.2">
      <c r="B37" t="s">
        <v>23</v>
      </c>
      <c r="G37">
        <f>(F17/E9)*(1-(6*G36)/E9)</f>
        <v>31.346938775510175</v>
      </c>
    </row>
    <row r="38" spans="1:7" x14ac:dyDescent="0.2">
      <c r="B38" t="s">
        <v>24</v>
      </c>
      <c r="G38">
        <f>(F17/E9)*(1+(6*G36)/E9)</f>
        <v>462.36734693877554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3F80-771B-40F2-8845-9123809D53E8}">
  <dimension ref="A1:I36"/>
  <sheetViews>
    <sheetView workbookViewId="0">
      <selection activeCell="A17" sqref="A17:B22"/>
    </sheetView>
  </sheetViews>
  <sheetFormatPr defaultRowHeight="15" x14ac:dyDescent="0.2"/>
  <sheetData>
    <row r="1" spans="1:9" x14ac:dyDescent="0.2">
      <c r="A1" t="s">
        <v>49</v>
      </c>
    </row>
    <row r="2" spans="1:9" ht="15.75" thickBot="1" x14ac:dyDescent="0.25"/>
    <row r="3" spans="1:9" x14ac:dyDescent="0.2">
      <c r="A3" s="6" t="s">
        <v>50</v>
      </c>
      <c r="B3" s="6"/>
    </row>
    <row r="4" spans="1:9" x14ac:dyDescent="0.2">
      <c r="A4" s="3" t="s">
        <v>51</v>
      </c>
      <c r="B4" s="3">
        <v>0.99999999999999967</v>
      </c>
    </row>
    <row r="5" spans="1:9" x14ac:dyDescent="0.2">
      <c r="A5" s="3" t="s">
        <v>52</v>
      </c>
      <c r="B5" s="3">
        <v>0.99999999999999933</v>
      </c>
    </row>
    <row r="6" spans="1:9" x14ac:dyDescent="0.2">
      <c r="A6" s="3" t="s">
        <v>53</v>
      </c>
      <c r="B6" s="3">
        <v>0.66666666666666519</v>
      </c>
    </row>
    <row r="7" spans="1:9" x14ac:dyDescent="0.2">
      <c r="A7" s="3" t="s">
        <v>54</v>
      </c>
      <c r="B7" s="3">
        <v>1.8541698093809836E-8</v>
      </c>
    </row>
    <row r="8" spans="1:9" ht="15.75" thickBot="1" x14ac:dyDescent="0.25">
      <c r="A8" s="4" t="s">
        <v>55</v>
      </c>
      <c r="B8" s="4">
        <v>8</v>
      </c>
    </row>
    <row r="10" spans="1:9" ht="15.75" thickBot="1" x14ac:dyDescent="0.25">
      <c r="A10" t="s">
        <v>56</v>
      </c>
    </row>
    <row r="11" spans="1:9" x14ac:dyDescent="0.2">
      <c r="A11" s="5"/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</row>
    <row r="12" spans="1:9" x14ac:dyDescent="0.2">
      <c r="A12" s="3" t="s">
        <v>37</v>
      </c>
      <c r="B12" s="3">
        <v>5</v>
      </c>
      <c r="C12" s="3">
        <v>1.6332855450849815</v>
      </c>
      <c r="D12" s="3">
        <v>0.32665710901699629</v>
      </c>
      <c r="E12" s="3">
        <v>1187690045269540.8</v>
      </c>
      <c r="F12" s="3">
        <v>8.4197051577800673E-16</v>
      </c>
    </row>
    <row r="13" spans="1:9" x14ac:dyDescent="0.2">
      <c r="A13" s="3" t="s">
        <v>57</v>
      </c>
      <c r="B13" s="3">
        <v>3</v>
      </c>
      <c r="C13" s="3">
        <v>1.0313837046059742E-15</v>
      </c>
      <c r="D13" s="3">
        <v>3.4379456820199137E-16</v>
      </c>
      <c r="E13" s="3"/>
      <c r="F13" s="3"/>
    </row>
    <row r="14" spans="1:9" ht="15.75" thickBot="1" x14ac:dyDescent="0.25">
      <c r="A14" s="4" t="s">
        <v>58</v>
      </c>
      <c r="B14" s="4">
        <v>8</v>
      </c>
      <c r="C14" s="4">
        <v>1.6332855450849826</v>
      </c>
      <c r="D14" s="4"/>
      <c r="E14" s="4"/>
      <c r="F14" s="4"/>
    </row>
    <row r="15" spans="1:9" ht="15.75" thickBot="1" x14ac:dyDescent="0.25"/>
    <row r="16" spans="1:9" x14ac:dyDescent="0.2">
      <c r="A16" s="5"/>
      <c r="B16" s="5" t="s">
        <v>65</v>
      </c>
      <c r="C16" s="5" t="s">
        <v>54</v>
      </c>
      <c r="D16" s="5" t="s">
        <v>66</v>
      </c>
      <c r="E16" s="5" t="s">
        <v>67</v>
      </c>
      <c r="F16" s="5" t="s">
        <v>68</v>
      </c>
      <c r="G16" s="5" t="s">
        <v>69</v>
      </c>
      <c r="H16" s="5" t="s">
        <v>70</v>
      </c>
      <c r="I16" s="5" t="s">
        <v>71</v>
      </c>
    </row>
    <row r="17" spans="1:9" x14ac:dyDescent="0.2">
      <c r="A17" s="3" t="s">
        <v>59</v>
      </c>
      <c r="B17" s="3">
        <v>-9.7982327290791815E-2</v>
      </c>
      <c r="C17" s="3">
        <v>1.7393724519634772E-3</v>
      </c>
      <c r="D17" s="3">
        <v>-56.33199903803537</v>
      </c>
      <c r="E17" s="3">
        <v>1.2322895986162613E-5</v>
      </c>
      <c r="F17" s="3">
        <v>-0.10351778672405525</v>
      </c>
      <c r="G17" s="3">
        <v>-9.2446867857528384E-2</v>
      </c>
      <c r="H17" s="3">
        <v>-0.10351778672405525</v>
      </c>
      <c r="I17" s="3">
        <v>-9.2446867857528384E-2</v>
      </c>
    </row>
    <row r="18" spans="1:9" x14ac:dyDescent="0.2">
      <c r="A18" s="3" t="s">
        <v>72</v>
      </c>
      <c r="B18" s="3">
        <v>-0.86986470786676084</v>
      </c>
      <c r="C18" s="3">
        <v>9.7022077189325292E-4</v>
      </c>
      <c r="D18" s="3">
        <v>-896.56368227340568</v>
      </c>
      <c r="E18" s="3">
        <v>3.0600278077851435E-9</v>
      </c>
      <c r="F18" s="3">
        <v>-0.87295238337758208</v>
      </c>
      <c r="G18" s="3">
        <v>-0.86677703235593961</v>
      </c>
      <c r="H18" s="3">
        <v>-0.87295238337758208</v>
      </c>
      <c r="I18" s="3">
        <v>-0.86677703235593961</v>
      </c>
    </row>
    <row r="19" spans="1:9" x14ac:dyDescent="0.2">
      <c r="A19" s="3" t="s">
        <v>73</v>
      </c>
      <c r="B19" s="3">
        <v>0</v>
      </c>
      <c r="C19" s="3">
        <v>0</v>
      </c>
      <c r="D19" s="3">
        <v>65535</v>
      </c>
      <c r="E19" s="3" t="e">
        <v>#NUM!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">
      <c r="A20" s="3" t="s">
        <v>74</v>
      </c>
      <c r="B20" s="3">
        <v>-9.5753550855381508E-2</v>
      </c>
      <c r="C20" s="3">
        <v>1.511806077689378E-3</v>
      </c>
      <c r="D20" s="3">
        <v>-63.337191368968313</v>
      </c>
      <c r="E20" s="3" t="e">
        <v>#NUM!</v>
      </c>
      <c r="F20" s="3">
        <v>-0.10056479252162953</v>
      </c>
      <c r="G20" s="3">
        <v>-9.0942309189133486E-2</v>
      </c>
      <c r="H20" s="3">
        <v>-0.10056479252162953</v>
      </c>
      <c r="I20" s="3">
        <v>-9.0942309189133486E-2</v>
      </c>
    </row>
    <row r="21" spans="1:9" x14ac:dyDescent="0.2">
      <c r="A21" s="3" t="s">
        <v>75</v>
      </c>
      <c r="B21" s="3">
        <v>1.9645382779162521</v>
      </c>
      <c r="C21" s="3">
        <v>6.3155979198144415E-4</v>
      </c>
      <c r="D21" s="3">
        <v>3110.6132829525859</v>
      </c>
      <c r="E21" s="3">
        <v>7.3271067319655441E-11</v>
      </c>
      <c r="F21" s="3">
        <v>1.9625283727896949</v>
      </c>
      <c r="G21" s="3">
        <v>1.9665481830428093</v>
      </c>
      <c r="H21" s="3">
        <v>1.9625283727896949</v>
      </c>
      <c r="I21" s="3">
        <v>1.9665481830428093</v>
      </c>
    </row>
    <row r="22" spans="1:9" ht="15.75" thickBot="1" x14ac:dyDescent="0.25">
      <c r="A22" s="4" t="s">
        <v>76</v>
      </c>
      <c r="B22" s="4">
        <v>1.9997138800348788</v>
      </c>
      <c r="C22" s="4">
        <v>1.8597511011054325E-5</v>
      </c>
      <c r="D22" s="4">
        <v>107525.8876763806</v>
      </c>
      <c r="E22" s="4">
        <v>1.7739102216547314E-15</v>
      </c>
      <c r="F22" s="4">
        <v>1.9996546944546743</v>
      </c>
      <c r="G22" s="4">
        <v>1.9997730656150834</v>
      </c>
      <c r="H22" s="4">
        <v>1.9996546944546743</v>
      </c>
      <c r="I22" s="4">
        <v>1.9997730656150834</v>
      </c>
    </row>
    <row r="26" spans="1:9" x14ac:dyDescent="0.2">
      <c r="A26" t="s">
        <v>77</v>
      </c>
      <c r="F26" t="s">
        <v>82</v>
      </c>
    </row>
    <row r="27" spans="1:9" ht="15.75" thickBot="1" x14ac:dyDescent="0.25"/>
    <row r="28" spans="1:9" x14ac:dyDescent="0.2">
      <c r="A28" s="5" t="s">
        <v>78</v>
      </c>
      <c r="B28" s="5" t="s">
        <v>79</v>
      </c>
      <c r="C28" s="5" t="s">
        <v>80</v>
      </c>
      <c r="D28" s="5" t="s">
        <v>81</v>
      </c>
      <c r="F28" s="5" t="s">
        <v>83</v>
      </c>
      <c r="G28" s="5" t="s">
        <v>84</v>
      </c>
    </row>
    <row r="29" spans="1:9" x14ac:dyDescent="0.2">
      <c r="A29" s="3">
        <v>1</v>
      </c>
      <c r="B29" s="3">
        <v>6.7531669497295521</v>
      </c>
      <c r="C29" s="3">
        <v>-1.76403691654059E-9</v>
      </c>
      <c r="D29" s="3">
        <v>-0.15536118183752623</v>
      </c>
      <c r="F29" s="3">
        <v>6.25</v>
      </c>
      <c r="G29" s="3">
        <v>6.7531669479655152</v>
      </c>
    </row>
    <row r="30" spans="1:9" x14ac:dyDescent="0.2">
      <c r="A30" s="3">
        <v>2</v>
      </c>
      <c r="B30" s="3">
        <v>7.0826737644092645</v>
      </c>
      <c r="C30" s="3">
        <v>1.0584389364964863E-8</v>
      </c>
      <c r="D30" s="3">
        <v>0.93218187519243323</v>
      </c>
      <c r="F30" s="3">
        <v>18.75</v>
      </c>
      <c r="G30" s="3">
        <v>7.0826737749936539</v>
      </c>
    </row>
    <row r="31" spans="1:9" x14ac:dyDescent="0.2">
      <c r="A31" s="3">
        <v>3</v>
      </c>
      <c r="B31" s="3">
        <v>7.339354047983357</v>
      </c>
      <c r="C31" s="3">
        <v>-1.8635491372265278E-8</v>
      </c>
      <c r="D31" s="3">
        <v>-1.6412536135558469</v>
      </c>
      <c r="F31" s="3">
        <v>31.25</v>
      </c>
      <c r="G31" s="3">
        <v>7.3393540293478656</v>
      </c>
    </row>
    <row r="32" spans="1:9" x14ac:dyDescent="0.2">
      <c r="A32" s="3">
        <v>4</v>
      </c>
      <c r="B32" s="3">
        <v>7.5506133701388798</v>
      </c>
      <c r="C32" s="3">
        <v>3.5460452352253924E-9</v>
      </c>
      <c r="D32" s="3">
        <v>0.3123051300277418</v>
      </c>
      <c r="F32" s="3">
        <v>43.75</v>
      </c>
      <c r="G32" s="3">
        <v>7.550613373684925</v>
      </c>
    </row>
    <row r="33" spans="1:7" x14ac:dyDescent="0.2">
      <c r="A33" s="3">
        <v>5</v>
      </c>
      <c r="B33" s="3">
        <v>7.7306112294400968</v>
      </c>
      <c r="C33" s="3">
        <v>1.4867160835763116E-8</v>
      </c>
      <c r="D33" s="3">
        <v>1.3093715082462076</v>
      </c>
      <c r="F33" s="3">
        <v>56.25</v>
      </c>
      <c r="G33" s="3">
        <v>7.7306112443072577</v>
      </c>
    </row>
    <row r="34" spans="1:7" x14ac:dyDescent="0.2">
      <c r="A34" s="3">
        <v>6</v>
      </c>
      <c r="B34" s="3">
        <v>7.8876745332313947</v>
      </c>
      <c r="C34" s="3">
        <v>-1.6497736510245886E-10</v>
      </c>
      <c r="D34" s="3">
        <v>-1.4529785730915174E-2</v>
      </c>
      <c r="F34" s="3">
        <v>68.75</v>
      </c>
      <c r="G34" s="3">
        <v>7.8876745330664173</v>
      </c>
    </row>
    <row r="35" spans="1:7" x14ac:dyDescent="0.2">
      <c r="A35" s="3">
        <v>7</v>
      </c>
      <c r="B35" s="3">
        <v>8.0271410251034467</v>
      </c>
      <c r="C35" s="3">
        <v>-1.6459265950174995E-8</v>
      </c>
      <c r="D35" s="3">
        <v>-1.4495904174228218</v>
      </c>
      <c r="F35" s="3">
        <v>81.25</v>
      </c>
      <c r="G35" s="3">
        <v>8.0271410086441808</v>
      </c>
    </row>
    <row r="36" spans="1:7" ht="15.75" thickBot="1" x14ac:dyDescent="0.25">
      <c r="A36" s="4">
        <v>8</v>
      </c>
      <c r="B36" s="4">
        <v>8.1526500668749762</v>
      </c>
      <c r="C36" s="4">
        <v>8.0261788326652095E-9</v>
      </c>
      <c r="D36" s="4">
        <v>0.70687671975004929</v>
      </c>
      <c r="F36" s="4">
        <v>93.75</v>
      </c>
      <c r="G36" s="4">
        <v>8.152650074901155</v>
      </c>
    </row>
  </sheetData>
  <sortState xmlns:xlrd2="http://schemas.microsoft.com/office/spreadsheetml/2017/richdata2" ref="G29:G36">
    <sortCondition ref="G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CA08-D0D7-4FD5-A86E-20462412AD7B}">
  <dimension ref="A1:I36"/>
  <sheetViews>
    <sheetView workbookViewId="0">
      <selection activeCell="J18" sqref="J18"/>
    </sheetView>
  </sheetViews>
  <sheetFormatPr defaultRowHeight="15" x14ac:dyDescent="0.2"/>
  <sheetData>
    <row r="1" spans="1:9" x14ac:dyDescent="0.2">
      <c r="A1" t="s">
        <v>49</v>
      </c>
    </row>
    <row r="2" spans="1:9" ht="15.75" thickBot="1" x14ac:dyDescent="0.25"/>
    <row r="3" spans="1:9" x14ac:dyDescent="0.2">
      <c r="A3" s="6" t="s">
        <v>50</v>
      </c>
      <c r="B3" s="6"/>
    </row>
    <row r="4" spans="1:9" x14ac:dyDescent="0.2">
      <c r="A4" s="3" t="s">
        <v>51</v>
      </c>
      <c r="B4" s="3">
        <v>0.99999999999999967</v>
      </c>
    </row>
    <row r="5" spans="1:9" x14ac:dyDescent="0.2">
      <c r="A5" s="3" t="s">
        <v>52</v>
      </c>
      <c r="B5" s="3">
        <v>0.99999999999999933</v>
      </c>
    </row>
    <row r="6" spans="1:9" x14ac:dyDescent="0.2">
      <c r="A6" s="3" t="s">
        <v>53</v>
      </c>
      <c r="B6" s="3">
        <v>0.66666666666666519</v>
      </c>
    </row>
    <row r="7" spans="1:9" x14ac:dyDescent="0.2">
      <c r="A7" s="3" t="s">
        <v>54</v>
      </c>
      <c r="B7" s="3">
        <v>1.8541698093809836E-8</v>
      </c>
    </row>
    <row r="8" spans="1:9" ht="15.75" thickBot="1" x14ac:dyDescent="0.25">
      <c r="A8" s="4" t="s">
        <v>55</v>
      </c>
      <c r="B8" s="4">
        <v>8</v>
      </c>
    </row>
    <row r="10" spans="1:9" ht="15.75" thickBot="1" x14ac:dyDescent="0.25">
      <c r="A10" t="s">
        <v>56</v>
      </c>
    </row>
    <row r="11" spans="1:9" x14ac:dyDescent="0.2">
      <c r="A11" s="5"/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</row>
    <row r="12" spans="1:9" x14ac:dyDescent="0.2">
      <c r="A12" s="3" t="s">
        <v>37</v>
      </c>
      <c r="B12" s="3">
        <v>5</v>
      </c>
      <c r="C12" s="3">
        <v>1.6332855450849815</v>
      </c>
      <c r="D12" s="3">
        <v>0.32665710901699629</v>
      </c>
      <c r="E12" s="3">
        <v>1187690045269540.8</v>
      </c>
      <c r="F12" s="3">
        <v>8.4197051577800673E-16</v>
      </c>
    </row>
    <row r="13" spans="1:9" x14ac:dyDescent="0.2">
      <c r="A13" s="3" t="s">
        <v>57</v>
      </c>
      <c r="B13" s="3">
        <v>3</v>
      </c>
      <c r="C13" s="3">
        <v>1.0313837046059742E-15</v>
      </c>
      <c r="D13" s="3">
        <v>3.4379456820199137E-16</v>
      </c>
      <c r="E13" s="3"/>
      <c r="F13" s="3"/>
    </row>
    <row r="14" spans="1:9" ht="15.75" thickBot="1" x14ac:dyDescent="0.25">
      <c r="A14" s="4" t="s">
        <v>58</v>
      </c>
      <c r="B14" s="4">
        <v>8</v>
      </c>
      <c r="C14" s="4">
        <v>1.6332855450849826</v>
      </c>
      <c r="D14" s="4"/>
      <c r="E14" s="4"/>
      <c r="F14" s="4"/>
    </row>
    <row r="15" spans="1:9" ht="15.75" thickBot="1" x14ac:dyDescent="0.25"/>
    <row r="16" spans="1:9" x14ac:dyDescent="0.2">
      <c r="A16" s="5"/>
      <c r="B16" s="5" t="s">
        <v>65</v>
      </c>
      <c r="C16" s="5" t="s">
        <v>54</v>
      </c>
      <c r="D16" s="5" t="s">
        <v>66</v>
      </c>
      <c r="E16" s="5" t="s">
        <v>67</v>
      </c>
      <c r="F16" s="5" t="s">
        <v>68</v>
      </c>
      <c r="G16" s="5" t="s">
        <v>69</v>
      </c>
      <c r="H16" s="5" t="s">
        <v>70</v>
      </c>
      <c r="I16" s="5" t="s">
        <v>71</v>
      </c>
    </row>
    <row r="17" spans="1:9" x14ac:dyDescent="0.2">
      <c r="A17" s="3" t="s">
        <v>59</v>
      </c>
      <c r="B17" s="3">
        <v>-9.7982327290791815E-2</v>
      </c>
      <c r="C17" s="3">
        <v>1.7393724519634772E-3</v>
      </c>
      <c r="D17" s="3">
        <v>-56.33199903803537</v>
      </c>
      <c r="E17" s="3">
        <v>1.2322895986162613E-5</v>
      </c>
      <c r="F17" s="3">
        <v>-0.10351778672405525</v>
      </c>
      <c r="G17" s="3">
        <v>-9.2446867857528384E-2</v>
      </c>
      <c r="H17" s="3">
        <v>-0.10351778672405525</v>
      </c>
      <c r="I17" s="3">
        <v>-9.2446867857528384E-2</v>
      </c>
    </row>
    <row r="18" spans="1:9" x14ac:dyDescent="0.2">
      <c r="A18" s="3" t="s">
        <v>72</v>
      </c>
      <c r="B18" s="3">
        <v>-0.86986470786676084</v>
      </c>
      <c r="C18" s="3">
        <v>9.7022077189325292E-4</v>
      </c>
      <c r="D18" s="3">
        <v>-896.56368227340568</v>
      </c>
      <c r="E18" s="3">
        <v>3.0600278077851435E-9</v>
      </c>
      <c r="F18" s="3">
        <v>-0.87295238337758208</v>
      </c>
      <c r="G18" s="3">
        <v>-0.86677703235593961</v>
      </c>
      <c r="H18" s="3">
        <v>-0.87295238337758208</v>
      </c>
      <c r="I18" s="3">
        <v>-0.86677703235593961</v>
      </c>
    </row>
    <row r="19" spans="1:9" x14ac:dyDescent="0.2">
      <c r="A19" s="3" t="s">
        <v>73</v>
      </c>
      <c r="B19" s="3">
        <v>0</v>
      </c>
      <c r="C19" s="3">
        <v>0</v>
      </c>
      <c r="D19" s="3">
        <v>65535</v>
      </c>
      <c r="E19" s="3" t="e">
        <v>#NUM!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">
      <c r="A20" s="3" t="s">
        <v>74</v>
      </c>
      <c r="B20" s="3">
        <v>-9.5753550855381508E-2</v>
      </c>
      <c r="C20" s="3">
        <v>1.511806077689378E-3</v>
      </c>
      <c r="D20" s="3">
        <v>-63.337191368968313</v>
      </c>
      <c r="E20" s="3" t="e">
        <v>#NUM!</v>
      </c>
      <c r="F20" s="3">
        <v>-0.10056479252162953</v>
      </c>
      <c r="G20" s="3">
        <v>-9.0942309189133486E-2</v>
      </c>
      <c r="H20" s="3">
        <v>-0.10056479252162953</v>
      </c>
      <c r="I20" s="3">
        <v>-9.0942309189133486E-2</v>
      </c>
    </row>
    <row r="21" spans="1:9" x14ac:dyDescent="0.2">
      <c r="A21" s="3" t="s">
        <v>75</v>
      </c>
      <c r="B21" s="3">
        <v>1.9645382779162521</v>
      </c>
      <c r="C21" s="3">
        <v>6.3155979198144415E-4</v>
      </c>
      <c r="D21" s="3">
        <v>3110.6132829525859</v>
      </c>
      <c r="E21" s="3">
        <v>7.3271067319655441E-11</v>
      </c>
      <c r="F21" s="3">
        <v>1.9625283727896949</v>
      </c>
      <c r="G21" s="3">
        <v>1.9665481830428093</v>
      </c>
      <c r="H21" s="3">
        <v>1.9625283727896949</v>
      </c>
      <c r="I21" s="3">
        <v>1.9665481830428093</v>
      </c>
    </row>
    <row r="22" spans="1:9" ht="15.75" thickBot="1" x14ac:dyDescent="0.25">
      <c r="A22" s="4" t="s">
        <v>76</v>
      </c>
      <c r="B22" s="4">
        <v>1.9997138800348788</v>
      </c>
      <c r="C22" s="4">
        <v>1.8597511011054325E-5</v>
      </c>
      <c r="D22" s="4">
        <v>107525.8876763806</v>
      </c>
      <c r="E22" s="4">
        <v>1.7739102216547314E-15</v>
      </c>
      <c r="F22" s="4">
        <v>1.9996546944546743</v>
      </c>
      <c r="G22" s="4">
        <v>1.9997730656150834</v>
      </c>
      <c r="H22" s="4">
        <v>1.9996546944546743</v>
      </c>
      <c r="I22" s="4">
        <v>1.9997730656150834</v>
      </c>
    </row>
    <row r="26" spans="1:9" x14ac:dyDescent="0.2">
      <c r="A26" t="s">
        <v>77</v>
      </c>
      <c r="F26" t="s">
        <v>82</v>
      </c>
    </row>
    <row r="27" spans="1:9" ht="15.75" thickBot="1" x14ac:dyDescent="0.25"/>
    <row r="28" spans="1:9" x14ac:dyDescent="0.2">
      <c r="A28" s="5" t="s">
        <v>78</v>
      </c>
      <c r="B28" s="5" t="s">
        <v>79</v>
      </c>
      <c r="C28" s="5" t="s">
        <v>80</v>
      </c>
      <c r="D28" s="5" t="s">
        <v>81</v>
      </c>
      <c r="F28" s="5" t="s">
        <v>83</v>
      </c>
      <c r="G28" s="5" t="s">
        <v>84</v>
      </c>
    </row>
    <row r="29" spans="1:9" x14ac:dyDescent="0.2">
      <c r="A29" s="3">
        <v>1</v>
      </c>
      <c r="B29" s="3">
        <v>6.7531669497295521</v>
      </c>
      <c r="C29" s="3">
        <v>-1.76403691654059E-9</v>
      </c>
      <c r="D29" s="3">
        <v>-0.15536118183752623</v>
      </c>
      <c r="F29" s="3">
        <v>6.25</v>
      </c>
      <c r="G29" s="3">
        <v>6.7531669479655152</v>
      </c>
    </row>
    <row r="30" spans="1:9" x14ac:dyDescent="0.2">
      <c r="A30" s="3">
        <v>2</v>
      </c>
      <c r="B30" s="3">
        <v>7.0826737644092645</v>
      </c>
      <c r="C30" s="3">
        <v>1.0584389364964863E-8</v>
      </c>
      <c r="D30" s="3">
        <v>0.93218187519243323</v>
      </c>
      <c r="F30" s="3">
        <v>18.75</v>
      </c>
      <c r="G30" s="3">
        <v>7.0826737749936539</v>
      </c>
    </row>
    <row r="31" spans="1:9" x14ac:dyDescent="0.2">
      <c r="A31" s="3">
        <v>3</v>
      </c>
      <c r="B31" s="3">
        <v>7.339354047983357</v>
      </c>
      <c r="C31" s="3">
        <v>-1.8635491372265278E-8</v>
      </c>
      <c r="D31" s="3">
        <v>-1.6412536135558469</v>
      </c>
      <c r="F31" s="3">
        <v>31.25</v>
      </c>
      <c r="G31" s="3">
        <v>7.3393540293478656</v>
      </c>
    </row>
    <row r="32" spans="1:9" x14ac:dyDescent="0.2">
      <c r="A32" s="3">
        <v>4</v>
      </c>
      <c r="B32" s="3">
        <v>7.5506133701388798</v>
      </c>
      <c r="C32" s="3">
        <v>3.5460452352253924E-9</v>
      </c>
      <c r="D32" s="3">
        <v>0.3123051300277418</v>
      </c>
      <c r="F32" s="3">
        <v>43.75</v>
      </c>
      <c r="G32" s="3">
        <v>7.550613373684925</v>
      </c>
    </row>
    <row r="33" spans="1:7" x14ac:dyDescent="0.2">
      <c r="A33" s="3">
        <v>5</v>
      </c>
      <c r="B33" s="3">
        <v>7.7306112294400968</v>
      </c>
      <c r="C33" s="3">
        <v>1.4867160835763116E-8</v>
      </c>
      <c r="D33" s="3">
        <v>1.3093715082462076</v>
      </c>
      <c r="F33" s="3">
        <v>56.25</v>
      </c>
      <c r="G33" s="3">
        <v>7.7306112443072577</v>
      </c>
    </row>
    <row r="34" spans="1:7" x14ac:dyDescent="0.2">
      <c r="A34" s="3">
        <v>6</v>
      </c>
      <c r="B34" s="3">
        <v>7.8876745332313947</v>
      </c>
      <c r="C34" s="3">
        <v>-1.6497736510245886E-10</v>
      </c>
      <c r="D34" s="3">
        <v>-1.4529785730915174E-2</v>
      </c>
      <c r="F34" s="3">
        <v>68.75</v>
      </c>
      <c r="G34" s="3">
        <v>7.8876745330664173</v>
      </c>
    </row>
    <row r="35" spans="1:7" x14ac:dyDescent="0.2">
      <c r="A35" s="3">
        <v>7</v>
      </c>
      <c r="B35" s="3">
        <v>8.0271410251034467</v>
      </c>
      <c r="C35" s="3">
        <v>-1.6459265950174995E-8</v>
      </c>
      <c r="D35" s="3">
        <v>-1.4495904174228218</v>
      </c>
      <c r="F35" s="3">
        <v>81.25</v>
      </c>
      <c r="G35" s="3">
        <v>8.0271410086441808</v>
      </c>
    </row>
    <row r="36" spans="1:7" ht="15.75" thickBot="1" x14ac:dyDescent="0.25">
      <c r="A36" s="4">
        <v>8</v>
      </c>
      <c r="B36" s="4">
        <v>8.1526500668749762</v>
      </c>
      <c r="C36" s="4">
        <v>8.0261788326652095E-9</v>
      </c>
      <c r="D36" s="4">
        <v>0.70687671975004929</v>
      </c>
      <c r="F36" s="4">
        <v>93.75</v>
      </c>
      <c r="G36" s="4">
        <v>8.152650074901155</v>
      </c>
    </row>
  </sheetData>
  <sortState xmlns:xlrd2="http://schemas.microsoft.com/office/spreadsheetml/2017/richdata2" ref="G29:G36">
    <sortCondition ref="G2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C7B-DDDE-4F35-A1E9-BF7DFDF16202}">
  <dimension ref="A2:Q32"/>
  <sheetViews>
    <sheetView tabSelected="1" topLeftCell="A2" zoomScale="85" zoomScaleNormal="85" workbookViewId="0">
      <selection activeCell="W24" sqref="W24"/>
    </sheetView>
  </sheetViews>
  <sheetFormatPr defaultRowHeight="15" x14ac:dyDescent="0.2"/>
  <sheetData>
    <row r="2" spans="1:17" x14ac:dyDescent="0.2">
      <c r="A2" t="s">
        <v>12</v>
      </c>
      <c r="B2" t="s">
        <v>30</v>
      </c>
    </row>
    <row r="3" spans="1:17" x14ac:dyDescent="0.2">
      <c r="B3" s="2" t="s">
        <v>31</v>
      </c>
      <c r="C3" s="2" t="s">
        <v>32</v>
      </c>
      <c r="D3" s="2" t="s">
        <v>33</v>
      </c>
      <c r="E3" s="2" t="s">
        <v>39</v>
      </c>
      <c r="F3" s="2" t="s">
        <v>34</v>
      </c>
      <c r="G3" s="2" t="s">
        <v>35</v>
      </c>
      <c r="J3" s="2"/>
    </row>
    <row r="4" spans="1:17" x14ac:dyDescent="0.2">
      <c r="B4">
        <v>200</v>
      </c>
      <c r="C4">
        <v>200</v>
      </c>
      <c r="D4">
        <v>20</v>
      </c>
      <c r="E4">
        <v>250</v>
      </c>
      <c r="F4">
        <f>0.85*B4*C4/E4</f>
        <v>136</v>
      </c>
      <c r="G4">
        <f>0.87*F4*C4*E4*(1-(E4*F4)/(B4*C4*D4))</f>
        <v>5664570</v>
      </c>
      <c r="P4" t="s">
        <v>34</v>
      </c>
      <c r="Q4" t="s">
        <v>42</v>
      </c>
    </row>
    <row r="5" spans="1:17" x14ac:dyDescent="0.2">
      <c r="B5">
        <v>225</v>
      </c>
      <c r="C5">
        <v>275</v>
      </c>
      <c r="D5">
        <v>22</v>
      </c>
      <c r="E5">
        <v>265</v>
      </c>
      <c r="F5">
        <f t="shared" ref="F5:F11" si="0">0.85*B5*C5/E5</f>
        <v>198.46698113207546</v>
      </c>
      <c r="G5">
        <f t="shared" ref="G5:G11" si="1">0.87*F5*C5*E5*(1-(E5*F5)/(B5*C5*D5))</f>
        <v>12096891.210937498</v>
      </c>
      <c r="P5" t="s">
        <v>35</v>
      </c>
      <c r="Q5" t="s">
        <v>36</v>
      </c>
    </row>
    <row r="6" spans="1:17" x14ac:dyDescent="0.2">
      <c r="B6">
        <v>250</v>
      </c>
      <c r="C6">
        <v>350</v>
      </c>
      <c r="D6">
        <v>24</v>
      </c>
      <c r="E6">
        <v>280</v>
      </c>
      <c r="F6">
        <f t="shared" si="0"/>
        <v>265.625</v>
      </c>
      <c r="G6">
        <f t="shared" si="1"/>
        <v>21845099.609375</v>
      </c>
      <c r="P6" t="s">
        <v>37</v>
      </c>
      <c r="Q6" t="s">
        <v>38</v>
      </c>
    </row>
    <row r="7" spans="1:17" x14ac:dyDescent="0.2">
      <c r="B7">
        <v>275</v>
      </c>
      <c r="C7">
        <v>425</v>
      </c>
      <c r="D7">
        <v>26</v>
      </c>
      <c r="E7">
        <v>295</v>
      </c>
      <c r="F7">
        <f t="shared" si="0"/>
        <v>336.75847457627117</v>
      </c>
      <c r="G7">
        <f t="shared" si="1"/>
        <v>35531486.222956724</v>
      </c>
    </row>
    <row r="8" spans="1:17" x14ac:dyDescent="0.2">
      <c r="B8">
        <v>300</v>
      </c>
      <c r="C8">
        <v>500</v>
      </c>
      <c r="D8">
        <v>28</v>
      </c>
      <c r="E8">
        <v>310</v>
      </c>
      <c r="F8">
        <f t="shared" si="0"/>
        <v>411.29032258064518</v>
      </c>
      <c r="G8">
        <f t="shared" si="1"/>
        <v>53778816.964285716</v>
      </c>
    </row>
    <row r="9" spans="1:17" x14ac:dyDescent="0.2">
      <c r="B9">
        <v>325</v>
      </c>
      <c r="C9">
        <v>575</v>
      </c>
      <c r="D9">
        <v>30</v>
      </c>
      <c r="E9">
        <v>325</v>
      </c>
      <c r="F9">
        <f t="shared" si="0"/>
        <v>488.75</v>
      </c>
      <c r="G9">
        <f t="shared" si="1"/>
        <v>77210174.3359375</v>
      </c>
    </row>
    <row r="10" spans="1:17" x14ac:dyDescent="0.2">
      <c r="B10">
        <v>350</v>
      </c>
      <c r="C10">
        <v>650</v>
      </c>
      <c r="D10">
        <v>32</v>
      </c>
      <c r="E10">
        <v>340</v>
      </c>
      <c r="F10">
        <f t="shared" si="0"/>
        <v>568.75</v>
      </c>
      <c r="G10">
        <f t="shared" si="1"/>
        <v>106448858.49609375</v>
      </c>
    </row>
    <row r="11" spans="1:17" x14ac:dyDescent="0.2">
      <c r="B11">
        <v>375</v>
      </c>
      <c r="C11">
        <v>725</v>
      </c>
      <c r="D11">
        <v>34</v>
      </c>
      <c r="E11">
        <v>355</v>
      </c>
      <c r="F11">
        <f t="shared" si="0"/>
        <v>650.96830985915494</v>
      </c>
      <c r="G11">
        <f t="shared" si="1"/>
        <v>142118323.2421875</v>
      </c>
    </row>
    <row r="13" spans="1:17" x14ac:dyDescent="0.2">
      <c r="B13" s="2" t="s">
        <v>40</v>
      </c>
      <c r="C13" s="2" t="s">
        <v>41</v>
      </c>
      <c r="D13" s="2" t="s">
        <v>43</v>
      </c>
      <c r="E13" s="2" t="s">
        <v>44</v>
      </c>
      <c r="F13" s="2" t="s">
        <v>45</v>
      </c>
      <c r="G13" s="2" t="s">
        <v>46</v>
      </c>
    </row>
    <row r="14" spans="1:17" x14ac:dyDescent="0.2">
      <c r="B14">
        <f>LOG(B4)</f>
        <v>2.3010299956639813</v>
      </c>
      <c r="C14">
        <f>LOG(C4)</f>
        <v>2.3010299956639813</v>
      </c>
      <c r="D14">
        <f>LOG(D4)</f>
        <v>1.3010299956639813</v>
      </c>
      <c r="E14">
        <f>LOG(E4)</f>
        <v>2.3979400086720375</v>
      </c>
      <c r="F14">
        <f>LOG(F4)</f>
        <v>2.1335389083702174</v>
      </c>
      <c r="G14">
        <f>LOG(G4)</f>
        <v>6.7531669479655152</v>
      </c>
    </row>
    <row r="15" spans="1:17" x14ac:dyDescent="0.2">
      <c r="B15">
        <f>LOG(B5)</f>
        <v>2.3521825181113627</v>
      </c>
      <c r="C15">
        <f>LOG(C5)</f>
        <v>2.4393326938302629</v>
      </c>
      <c r="D15">
        <f t="shared" ref="D15:G21" si="2">LOG(D5)</f>
        <v>1.3424226808222062</v>
      </c>
      <c r="E15">
        <f t="shared" si="2"/>
        <v>2.4232458739368079</v>
      </c>
      <c r="F15">
        <f t="shared" si="2"/>
        <v>2.2976882637191101</v>
      </c>
      <c r="G15">
        <f t="shared" si="2"/>
        <v>7.0826737749936539</v>
      </c>
    </row>
    <row r="16" spans="1:17" x14ac:dyDescent="0.2">
      <c r="B16">
        <f>LOG(B6)</f>
        <v>2.3979400086720375</v>
      </c>
      <c r="C16">
        <f>LOG(C6)</f>
        <v>2.5440680443502757</v>
      </c>
      <c r="D16">
        <f t="shared" si="2"/>
        <v>1.3802112417116059</v>
      </c>
      <c r="E16">
        <f t="shared" si="2"/>
        <v>2.4471580313422194</v>
      </c>
      <c r="F16">
        <f t="shared" si="2"/>
        <v>2.4242689473943866</v>
      </c>
      <c r="G16">
        <f t="shared" si="2"/>
        <v>7.3393540293478656</v>
      </c>
    </row>
    <row r="17" spans="1:7" x14ac:dyDescent="0.2">
      <c r="B17">
        <f>LOG(B7)</f>
        <v>2.4393326938302629</v>
      </c>
      <c r="C17">
        <f>LOG(C7)</f>
        <v>2.6283889300503116</v>
      </c>
      <c r="D17">
        <f t="shared" si="2"/>
        <v>1.414973347970818</v>
      </c>
      <c r="E17">
        <f t="shared" si="2"/>
        <v>2.469822015978163</v>
      </c>
      <c r="F17">
        <f t="shared" si="2"/>
        <v>2.5273185336167039</v>
      </c>
      <c r="G17">
        <f t="shared" si="2"/>
        <v>7.550613373684925</v>
      </c>
    </row>
    <row r="18" spans="1:7" x14ac:dyDescent="0.2">
      <c r="B18">
        <f>LOG(B8)</f>
        <v>2.4771212547196626</v>
      </c>
      <c r="C18">
        <f>LOG(C8)</f>
        <v>2.6989700043360187</v>
      </c>
      <c r="D18">
        <f t="shared" si="2"/>
        <v>1.4471580313422192</v>
      </c>
      <c r="E18">
        <f t="shared" si="2"/>
        <v>2.4913616938342726</v>
      </c>
      <c r="F18">
        <f t="shared" si="2"/>
        <v>2.6141484909357011</v>
      </c>
      <c r="G18">
        <f t="shared" si="2"/>
        <v>7.7306112443072577</v>
      </c>
    </row>
    <row r="19" spans="1:7" x14ac:dyDescent="0.2">
      <c r="B19">
        <f>LOG(B9)</f>
        <v>2.5118833609788744</v>
      </c>
      <c r="C19">
        <f>LOG(C9)</f>
        <v>2.7596678446896306</v>
      </c>
      <c r="D19">
        <f t="shared" si="2"/>
        <v>1.4771212547196624</v>
      </c>
      <c r="E19">
        <f t="shared" si="2"/>
        <v>2.5118833609788744</v>
      </c>
      <c r="F19">
        <f t="shared" si="2"/>
        <v>2.6890867704039234</v>
      </c>
      <c r="G19">
        <f t="shared" si="2"/>
        <v>7.8876745330664173</v>
      </c>
    </row>
    <row r="20" spans="1:7" x14ac:dyDescent="0.2">
      <c r="B20">
        <f>LOG(B10)</f>
        <v>2.5440680443502757</v>
      </c>
      <c r="C20">
        <f>LOG(C10)</f>
        <v>2.8129133566428557</v>
      </c>
      <c r="D20">
        <f t="shared" si="2"/>
        <v>1.505149978319906</v>
      </c>
      <c r="E20">
        <f t="shared" si="2"/>
        <v>2.5314789170422549</v>
      </c>
      <c r="F20">
        <f t="shared" si="2"/>
        <v>2.7549214096651689</v>
      </c>
      <c r="G20">
        <f t="shared" si="2"/>
        <v>8.0271410086441808</v>
      </c>
    </row>
    <row r="21" spans="1:7" x14ac:dyDescent="0.2">
      <c r="B21">
        <f>LOG(B11)</f>
        <v>2.5740312677277188</v>
      </c>
      <c r="C21">
        <f>LOG(C11)</f>
        <v>2.8603380065709936</v>
      </c>
      <c r="D21">
        <f t="shared" si="2"/>
        <v>1.5314789170422551</v>
      </c>
      <c r="E21">
        <f t="shared" si="2"/>
        <v>2.5502283530550942</v>
      </c>
      <c r="F21">
        <f t="shared" si="2"/>
        <v>2.8135598469579111</v>
      </c>
      <c r="G21">
        <f>LOG(G11)</f>
        <v>8.152650074901155</v>
      </c>
    </row>
    <row r="24" spans="1:7" x14ac:dyDescent="0.2">
      <c r="A24" t="s">
        <v>47</v>
      </c>
      <c r="B24" s="2" t="s">
        <v>48</v>
      </c>
      <c r="C24" s="2"/>
    </row>
    <row r="25" spans="1:7" x14ac:dyDescent="0.2">
      <c r="B25">
        <f>0.0125*((B4^-0.0869)*(D4^-0.0957)*(E4^1.964)*(F4^2))</f>
        <v>5611434.9087119512</v>
      </c>
      <c r="C25">
        <f>G4/B25</f>
        <v>1.0094690738024164</v>
      </c>
      <c r="E25" s="3" t="s">
        <v>59</v>
      </c>
      <c r="F25" s="3">
        <v>-9.7982327290791815E-2</v>
      </c>
    </row>
    <row r="26" spans="1:7" x14ac:dyDescent="0.2">
      <c r="B26">
        <f t="shared" ref="B26:B32" si="3">0.0125*((B5^-0.086986)*(D5^-0.09575)*(E5^1.9645)*(F5^2))</f>
        <v>13170708.552355286</v>
      </c>
      <c r="C26">
        <f t="shared" ref="C26:C33" si="4">G5/B26</f>
        <v>0.91846928074148604</v>
      </c>
      <c r="E26" s="3" t="s">
        <v>72</v>
      </c>
      <c r="F26" s="3">
        <v>-0.86986470786676084</v>
      </c>
      <c r="G26" t="s">
        <v>31</v>
      </c>
    </row>
    <row r="27" spans="1:7" x14ac:dyDescent="0.2">
      <c r="B27">
        <f t="shared" si="3"/>
        <v>25831369.061938185</v>
      </c>
      <c r="C27">
        <f t="shared" si="4"/>
        <v>0.84568106154168787</v>
      </c>
      <c r="E27" s="3" t="s">
        <v>73</v>
      </c>
      <c r="F27" s="3">
        <v>0</v>
      </c>
      <c r="G27" t="s">
        <v>32</v>
      </c>
    </row>
    <row r="28" spans="1:7" x14ac:dyDescent="0.2">
      <c r="B28">
        <f t="shared" si="3"/>
        <v>45273173.571423635</v>
      </c>
      <c r="C28">
        <f t="shared" si="4"/>
        <v>0.78482428820461902</v>
      </c>
      <c r="E28" s="3" t="s">
        <v>74</v>
      </c>
      <c r="F28" s="3">
        <v>-9.5753550855381508E-2</v>
      </c>
      <c r="G28" t="s">
        <v>33</v>
      </c>
    </row>
    <row r="29" spans="1:7" x14ac:dyDescent="0.2">
      <c r="B29">
        <f t="shared" si="3"/>
        <v>73357883.288233668</v>
      </c>
      <c r="C29">
        <f t="shared" si="4"/>
        <v>0.73310208192596038</v>
      </c>
      <c r="E29" s="3" t="s">
        <v>75</v>
      </c>
      <c r="F29" s="3">
        <v>1.9645382779162521</v>
      </c>
      <c r="G29" t="s">
        <v>39</v>
      </c>
    </row>
    <row r="30" spans="1:7" ht="15.75" thickBot="1" x14ac:dyDescent="0.25">
      <c r="B30">
        <f t="shared" si="3"/>
        <v>112136080.02955419</v>
      </c>
      <c r="C30">
        <f t="shared" si="4"/>
        <v>0.68853998031310049</v>
      </c>
      <c r="E30" s="4" t="s">
        <v>76</v>
      </c>
      <c r="F30" s="4">
        <v>1.9997138800348788</v>
      </c>
      <c r="G30" t="s">
        <v>34</v>
      </c>
    </row>
    <row r="31" spans="1:7" x14ac:dyDescent="0.2">
      <c r="B31">
        <f t="shared" si="3"/>
        <v>163842569.97627062</v>
      </c>
      <c r="C31">
        <f t="shared" si="4"/>
        <v>0.64970207993875329</v>
      </c>
    </row>
    <row r="32" spans="1:7" x14ac:dyDescent="0.2">
      <c r="B32">
        <f t="shared" si="3"/>
        <v>230892335.30995226</v>
      </c>
      <c r="C32">
        <f t="shared" si="4"/>
        <v>0.61551771760377583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DAMS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BILLAKANTI GANESH</dc:creator>
  <cp:lastModifiedBy>BILLAKANTI GANESH</cp:lastModifiedBy>
  <dcterms:created xsi:type="dcterms:W3CDTF">2025-09-22T06:25:36Z</dcterms:created>
  <dcterms:modified xsi:type="dcterms:W3CDTF">2025-10-13T07:34:45Z</dcterms:modified>
</cp:coreProperties>
</file>